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G:\Projects\"/>
    </mc:Choice>
  </mc:AlternateContent>
  <xr:revisionPtr revIDLastSave="0" documentId="14_{F524E3C5-755B-432D-8864-AEE0A8088483}" xr6:coauthVersionLast="47" xr6:coauthVersionMax="47" xr10:uidLastSave="{00000000-0000-0000-0000-000000000000}"/>
  <bookViews>
    <workbookView xWindow="-120" yWindow="-120" windowWidth="28110" windowHeight="16440" activeTab="5" xr2:uid="{00000000-000D-0000-FFFF-FFFF00000000}"/>
  </bookViews>
  <sheets>
    <sheet name="Main Menu" sheetId="12" r:id="rId1"/>
    <sheet name="cable size &amp; part #" sheetId="1" r:id="rId2"/>
    <sheet name="lead lengths" sheetId="4" r:id="rId3"/>
    <sheet name="avg lead lengths" sheetId="10" r:id="rId4"/>
    <sheet name="DATA" sheetId="2" r:id="rId5"/>
    <sheet name="DATA2" sheetId="3" r:id="rId6"/>
  </sheets>
  <definedNames>
    <definedName name="Butt1">'cable size &amp; part #'!$B$7</definedName>
    <definedName name="Butt2">'cable size &amp; part #'!$D$7</definedName>
    <definedName name="Butt3">'cable size &amp; part #'!$B$10</definedName>
    <definedName name="Butt4">'cable size &amp; part #'!$D$10</definedName>
    <definedName name="CHICKEN">'cable size &amp; part #'!$H$23</definedName>
    <definedName name="DrawingNo">'cable size &amp; part #'!$B$2</definedName>
    <definedName name="MCM_1">'cable size &amp; part #'!$A$7</definedName>
    <definedName name="MCM_2">'cable size &amp; part #'!$G$7</definedName>
    <definedName name="MCM_3">'cable size &amp; part #'!$A$10</definedName>
    <definedName name="MCM_4">'cable size &amp; part #'!$G$10</definedName>
    <definedName name="MVA">#REF!</definedName>
    <definedName name="MVA_1">#REF!</definedName>
    <definedName name="NUM">'cable size &amp; part #'!$H$23</definedName>
    <definedName name="Parrallel1">'cable size &amp; part #'!$J$4</definedName>
    <definedName name="Parrallel2">'cable size &amp; part #'!$J$6</definedName>
    <definedName name="Parrallel3">'cable size &amp; part #'!$J$8</definedName>
    <definedName name="Parrallel4">'cable size &amp; part #'!$J$10</definedName>
    <definedName name="SIDE_A">'cable size &amp; part #'!$A$8</definedName>
    <definedName name="SIDE_B">'cable size &amp; part #'!$G$8</definedName>
    <definedName name="Volts">#REF!</definedName>
    <definedName name="Volts_1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4" l="1"/>
  <c r="H7" i="4" s="1"/>
  <c r="M11" i="4" l="1"/>
  <c r="O11" i="4" s="1"/>
  <c r="N2" i="10" l="1"/>
  <c r="N1" i="10"/>
  <c r="I2" i="10"/>
  <c r="I1" i="10"/>
  <c r="D2" i="10"/>
  <c r="D1" i="10"/>
  <c r="N3" i="10" l="1"/>
  <c r="N4" i="10" s="1"/>
  <c r="N5" i="10" s="1"/>
  <c r="N11" i="10" s="1"/>
  <c r="N12" i="10" s="1"/>
  <c r="D3" i="10"/>
  <c r="D4" i="10" s="1"/>
  <c r="D5" i="10" s="1"/>
  <c r="D11" i="10" s="1"/>
  <c r="D12" i="10" s="1"/>
  <c r="I3" i="10"/>
  <c r="I4" i="10" s="1"/>
  <c r="I5" i="10" s="1"/>
  <c r="I11" i="10" s="1"/>
  <c r="I12" i="10" s="1"/>
  <c r="M13" i="4" l="1"/>
  <c r="O13" i="4" s="1"/>
  <c r="M8" i="4"/>
  <c r="O8" i="4" s="1"/>
  <c r="M14" i="4" l="1"/>
  <c r="O14" i="4" s="1"/>
  <c r="M12" i="4" l="1"/>
  <c r="O12" i="4" s="1"/>
  <c r="M7" i="4" l="1"/>
  <c r="O7" i="4" s="1"/>
  <c r="M9" i="4"/>
  <c r="O9" i="4" s="1"/>
  <c r="M10" i="4"/>
  <c r="O10" i="4" s="1"/>
  <c r="F6" i="4"/>
  <c r="H6" i="4" s="1"/>
  <c r="M6" i="4"/>
  <c r="O6" i="4" s="1"/>
  <c r="D9" i="1" l="1"/>
  <c r="B9" i="1"/>
  <c r="G10" i="1"/>
  <c r="A10" i="1"/>
  <c r="A7" i="1"/>
  <c r="G7" i="1"/>
  <c r="L10" i="1"/>
  <c r="L8" i="1"/>
  <c r="L6" i="1"/>
  <c r="L4" i="1"/>
  <c r="L12" i="1" l="1"/>
  <c r="M12" i="1" s="1"/>
  <c r="G8" i="1"/>
  <c r="A8" i="1"/>
  <c r="L14" i="1" l="1"/>
  <c r="D12" i="1"/>
  <c r="E14" i="1" s="1"/>
  <c r="L13" i="1"/>
  <c r="D14" i="1" l="1"/>
  <c r="D13" i="1"/>
  <c r="E13" i="1" s="1"/>
  <c r="C22" i="1"/>
</calcChain>
</file>

<file path=xl/sharedStrings.xml><?xml version="1.0" encoding="utf-8"?>
<sst xmlns="http://schemas.openxmlformats.org/spreadsheetml/2006/main" count="385" uniqueCount="181">
  <si>
    <t>SIZE</t>
  </si>
  <si>
    <t>PART NUMBER/ MATERIAL NUMBER</t>
  </si>
  <si>
    <t>CABLE OD MM</t>
  </si>
  <si>
    <t>1/0 W/3 MM WALL INSUL</t>
  </si>
  <si>
    <t>4/0 W/3 MM WALL INSUL</t>
  </si>
  <si>
    <t>300MCM W/3 MM WALL INSUL</t>
  </si>
  <si>
    <t>400MCM W/3 MM WALL INSUL</t>
  </si>
  <si>
    <t>500MCM W/3 MM WALL INSUL</t>
  </si>
  <si>
    <t>600MCM W/3 MM WALL INSUL</t>
  </si>
  <si>
    <t>#2 W/3 MM WALL INSUL</t>
  </si>
  <si>
    <t>#2 W/5 MM WALL INSUL</t>
  </si>
  <si>
    <t>1/0 W/5 MM WALL INSUL</t>
  </si>
  <si>
    <t>4/0 W/5 MM WALL INSUL</t>
  </si>
  <si>
    <t>300MCM W/5 MM WALL INSUL</t>
  </si>
  <si>
    <t>600MCM W/5 MM WALL INSUL</t>
  </si>
  <si>
    <t>400MCM W/6 MM WALL INSUL</t>
  </si>
  <si>
    <t>1/0 W/7 MM WALL INSUL</t>
  </si>
  <si>
    <t>4/0 W/7 MM WALL INSUL</t>
  </si>
  <si>
    <t>300MCM W/8 MM WALL INSUL</t>
  </si>
  <si>
    <t>400MCM W/8 MM WALL INSUL</t>
  </si>
  <si>
    <t>SELECT CABLE</t>
  </si>
  <si>
    <t>Selection of Insulated Copper Cable</t>
  </si>
  <si>
    <t>Max BIL</t>
  </si>
  <si>
    <t>Max. Amps</t>
  </si>
  <si>
    <t>Sec. 8, pg. 10</t>
  </si>
  <si>
    <t>No. of Cables</t>
  </si>
  <si>
    <t>Size</t>
  </si>
  <si>
    <t>Insul Wall</t>
  </si>
  <si>
    <t>Bend Radius</t>
  </si>
  <si>
    <t>Part Number/</t>
  </si>
  <si>
    <t>Material Number</t>
  </si>
  <si>
    <t>Cable OD</t>
  </si>
  <si>
    <t>mm</t>
  </si>
  <si>
    <t>#2</t>
  </si>
  <si>
    <t>300 MCM</t>
  </si>
  <si>
    <t>400 MCM</t>
  </si>
  <si>
    <t>500 MCM</t>
  </si>
  <si>
    <t>600 MCM</t>
  </si>
  <si>
    <t>1*</t>
  </si>
  <si>
    <t>4/0</t>
  </si>
  <si>
    <t>1/0</t>
  </si>
  <si>
    <t>MCM</t>
  </si>
  <si>
    <t>CABLE ONLY</t>
  </si>
  <si>
    <t>BUTT</t>
  </si>
  <si>
    <t>KSF-L</t>
  </si>
  <si>
    <t>SELECT BUTT CRIMP</t>
  </si>
  <si>
    <t>ELPRESS BUTT CRIMP SHOULD BE</t>
  </si>
  <si>
    <t>REQUIRED FILLER (IF NEEDED)</t>
  </si>
  <si>
    <t>NO 2 W/3 MM WALL INSUL</t>
  </si>
  <si>
    <t>NO 2 W/5 MM WALL INSUL</t>
  </si>
  <si>
    <t>1/0 WITH COTTON COVER</t>
  </si>
  <si>
    <t>4/0 WITH COTTON COVER</t>
  </si>
  <si>
    <t>4/0 WITH 2MM ROLLED PAPER</t>
  </si>
  <si>
    <t>300 MCM WITH COTTON WALL</t>
  </si>
  <si>
    <t>300 MCM W/3 MM WALL INSUL</t>
  </si>
  <si>
    <t>300 MCM W/5 MM WALL INSUL</t>
  </si>
  <si>
    <t>300 MCM W/6 MM WALL INSUL</t>
  </si>
  <si>
    <t>300 MCM W/8 MM WALL INSUL</t>
  </si>
  <si>
    <t>300 MCM W/10 MM WALL INSUL</t>
  </si>
  <si>
    <t>400 MCM W/3 MM WALL INSUL</t>
  </si>
  <si>
    <t>400 MCM W/5 MM WALL INSUL</t>
  </si>
  <si>
    <t>400 MCM W/6 MM WALL INSUL</t>
  </si>
  <si>
    <t>400 MCM W/8 MM WALL INSUL</t>
  </si>
  <si>
    <t>400 MCM W/10 MM WALL INSUL</t>
  </si>
  <si>
    <t>500 MCM W/2 MM WALL INSUL</t>
  </si>
  <si>
    <t>500 MCM W/3 MM WALL INSUL</t>
  </si>
  <si>
    <t>500 MCM W/5 MM WALL INSUL</t>
  </si>
  <si>
    <t>500 MCM W/6 MM WALL INSUL</t>
  </si>
  <si>
    <t>500 MCM W/8 MM WALL INSUL</t>
  </si>
  <si>
    <t>500 MCM W/10 MM WALL INSUL</t>
  </si>
  <si>
    <t>600 MCM W/2 MM WALL INSUL</t>
  </si>
  <si>
    <t>600 MCM W/3 MM WALL INSUL</t>
  </si>
  <si>
    <t>600 MCM W/5 MM WALL INSUL</t>
  </si>
  <si>
    <t>600 MCM W/8 MM WALL INSUL</t>
  </si>
  <si>
    <t>300MCM W/10 MM WALL INSUL</t>
  </si>
  <si>
    <t>Butt Crimp</t>
  </si>
  <si>
    <t>Parrallel Crimp</t>
  </si>
  <si>
    <t>Total MCM</t>
  </si>
  <si>
    <t>ELPRESS PARRALLEL CRIMP SHOULD BE</t>
  </si>
  <si>
    <t>PARRALLEL</t>
  </si>
  <si>
    <t>KS-P</t>
  </si>
  <si>
    <t>50P</t>
  </si>
  <si>
    <t>95P</t>
  </si>
  <si>
    <t>150P</t>
  </si>
  <si>
    <t>185P</t>
  </si>
  <si>
    <t>240P</t>
  </si>
  <si>
    <t>300P</t>
  </si>
  <si>
    <t>400P</t>
  </si>
  <si>
    <t>500P</t>
  </si>
  <si>
    <t>630P</t>
  </si>
  <si>
    <t>KS50F</t>
  </si>
  <si>
    <t>KS95F</t>
  </si>
  <si>
    <t>KS150F</t>
  </si>
  <si>
    <t>KS185F</t>
  </si>
  <si>
    <t>KS300F</t>
  </si>
  <si>
    <t>KS400F</t>
  </si>
  <si>
    <t>KS500F</t>
  </si>
  <si>
    <t>KS630F</t>
  </si>
  <si>
    <t>Column1</t>
  </si>
  <si>
    <t>Column2</t>
  </si>
  <si>
    <t>Column3</t>
  </si>
  <si>
    <t>Column4</t>
  </si>
  <si>
    <t>Column5</t>
  </si>
  <si>
    <t>2 CABLES</t>
  </si>
  <si>
    <t>3 CABLES</t>
  </si>
  <si>
    <t>4 CABLES</t>
  </si>
  <si>
    <t>Cable 1</t>
  </si>
  <si>
    <t>Cable 2</t>
  </si>
  <si>
    <t>KS240F</t>
  </si>
  <si>
    <t>5 CABLES</t>
  </si>
  <si>
    <t>6 CABLES</t>
  </si>
  <si>
    <t>AMOUNT</t>
  </si>
  <si>
    <t>DIVIDED</t>
  </si>
  <si>
    <t>MULTIPLY</t>
  </si>
  <si>
    <t>LENGTHS</t>
  </si>
  <si>
    <t>CABLES</t>
  </si>
  <si>
    <t>AMOUNT2</t>
  </si>
  <si>
    <t>PHASE A</t>
  </si>
  <si>
    <t>PHASE B</t>
  </si>
  <si>
    <t>PHASE C</t>
  </si>
  <si>
    <t>MAX</t>
  </si>
  <si>
    <t>MIN</t>
  </si>
  <si>
    <t>TOTAL</t>
  </si>
  <si>
    <t>AVG</t>
  </si>
  <si>
    <t>LEAD LEGNTH</t>
  </si>
  <si>
    <t>For C&amp;C Dup</t>
  </si>
  <si>
    <t>Old Lead</t>
  </si>
  <si>
    <t>New Lead</t>
  </si>
  <si>
    <t>Total Diff</t>
  </si>
  <si>
    <t>DIFFERENT CABLE SIZE</t>
  </si>
  <si>
    <t>SAME CABLES SIZE</t>
  </si>
  <si>
    <t>draw</t>
  </si>
  <si>
    <t>⚙️ Transformer Engineering Calculators – Main Menu</t>
  </si>
  <si>
    <t>🔌 Cable Size &amp; Part Number Lookup</t>
  </si>
  <si>
    <t>📏 Lead Length Calculator</t>
  </si>
  <si>
    <t>📊 Lead Length Summary (Average)</t>
  </si>
  <si>
    <t>📘 Instructions:</t>
  </si>
  <si>
    <t>• Click a link above to open the corresponding calculator.</t>
  </si>
  <si>
    <t>• Input fields are highlighted in yellow.</t>
  </si>
  <si>
    <t>• All outputs are automatically calculated.</t>
  </si>
  <si>
    <t>• For help, refer to the README tab.</t>
  </si>
  <si>
    <t>2002891C</t>
  </si>
  <si>
    <t>2002891B</t>
  </si>
  <si>
    <t>2045911C</t>
  </si>
  <si>
    <t>2045911A</t>
  </si>
  <si>
    <t>2045910C</t>
  </si>
  <si>
    <t>2045910B</t>
  </si>
  <si>
    <t>2045910A</t>
  </si>
  <si>
    <t>2002896A</t>
  </si>
  <si>
    <t>2002896B</t>
  </si>
  <si>
    <t>2002896C</t>
  </si>
  <si>
    <t>2002897C</t>
  </si>
  <si>
    <t>2002897B</t>
  </si>
  <si>
    <t>2002897A</t>
  </si>
  <si>
    <t>2002902A</t>
  </si>
  <si>
    <t>2002902C</t>
  </si>
  <si>
    <t>2002898B</t>
  </si>
  <si>
    <t>2002898A</t>
  </si>
  <si>
    <t>2002898C</t>
  </si>
  <si>
    <t>2002891A</t>
  </si>
  <si>
    <t>2002904C</t>
  </si>
  <si>
    <t>2002905A</t>
  </si>
  <si>
    <t>2002906A</t>
  </si>
  <si>
    <t>2002905B</t>
  </si>
  <si>
    <t>2002906B</t>
  </si>
  <si>
    <t>2002906C</t>
  </si>
  <si>
    <t>2002894A</t>
  </si>
  <si>
    <t>2002894B</t>
  </si>
  <si>
    <t>2002894C</t>
  </si>
  <si>
    <t>2002893A</t>
  </si>
  <si>
    <t>2002893C</t>
  </si>
  <si>
    <t>2002893B</t>
  </si>
  <si>
    <t>2002908B</t>
  </si>
  <si>
    <t>2002909B</t>
  </si>
  <si>
    <t>2002907A</t>
  </si>
  <si>
    <t>2002907B</t>
  </si>
  <si>
    <t>2002900C</t>
  </si>
  <si>
    <t>2002900A</t>
  </si>
  <si>
    <t>2002903A</t>
  </si>
  <si>
    <t>2002901A</t>
  </si>
  <si>
    <t>2002901B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</si>
</sst>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1"/>
      <color rgb="FF3F3F3F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  <border>
      <left/>
      <right/>
      <top style="thin">
        <color theme="4"/>
      </top>
      <bottom/>
      <diagonal/>
    </border>
  </borders>
  <cellStyleXfs count="5">
    <xf numFmtId="0" fontId="0" fillId="0" borderId="0"/>
    <xf numFmtId="0" fontId="4" fillId="3" borderId="14" applyNumberFormat="0" applyAlignment="0" applyProtection="0"/>
    <xf numFmtId="0" fontId="9" fillId="0" borderId="21" applyNumberFormat="0" applyFill="0" applyAlignment="0" applyProtection="0"/>
    <xf numFmtId="0" fontId="10" fillId="0" borderId="22" applyNumberFormat="0" applyFill="0" applyAlignment="0" applyProtection="0"/>
    <xf numFmtId="0" fontId="12" fillId="0" borderId="0" applyNumberForma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0" xfId="0" applyProtection="1">
      <protection locked="0"/>
    </xf>
    <xf numFmtId="0" fontId="0" fillId="0" borderId="1" xfId="0" applyBorder="1" applyAlignment="1">
      <alignment horizontal="left" vertical="center"/>
    </xf>
    <xf numFmtId="0" fontId="0" fillId="0" borderId="16" xfId="0" applyBorder="1"/>
    <xf numFmtId="0" fontId="5" fillId="0" borderId="17" xfId="0" applyFont="1" applyBorder="1"/>
    <xf numFmtId="0" fontId="0" fillId="0" borderId="17" xfId="0" applyBorder="1"/>
    <xf numFmtId="0" fontId="0" fillId="0" borderId="9" xfId="0" applyBorder="1"/>
    <xf numFmtId="0" fontId="0" fillId="0" borderId="18" xfId="0" applyBorder="1"/>
    <xf numFmtId="0" fontId="0" fillId="0" borderId="7" xfId="0" applyBorder="1"/>
    <xf numFmtId="0" fontId="4" fillId="3" borderId="14" xfId="1" applyAlignment="1" applyProtection="1">
      <alignment horizontal="right"/>
      <protection hidden="1"/>
    </xf>
    <xf numFmtId="0" fontId="0" fillId="0" borderId="19" xfId="0" applyBorder="1"/>
    <xf numFmtId="0" fontId="0" fillId="0" borderId="20" xfId="0" applyBorder="1"/>
    <xf numFmtId="0" fontId="0" fillId="0" borderId="8" xfId="0" applyBorder="1"/>
    <xf numFmtId="0" fontId="6" fillId="0" borderId="0" xfId="0" applyFont="1"/>
    <xf numFmtId="0" fontId="8" fillId="0" borderId="0" xfId="0" applyFont="1"/>
    <xf numFmtId="0" fontId="7" fillId="0" borderId="0" xfId="0" applyFont="1"/>
    <xf numFmtId="0" fontId="7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7" fillId="0" borderId="18" xfId="0" applyFont="1" applyBorder="1"/>
    <xf numFmtId="0" fontId="10" fillId="0" borderId="22" xfId="3"/>
    <xf numFmtId="164" fontId="10" fillId="0" borderId="22" xfId="3" applyNumberFormat="1"/>
    <xf numFmtId="0" fontId="10" fillId="0" borderId="23" xfId="3" applyBorder="1"/>
    <xf numFmtId="0" fontId="0" fillId="0" borderId="1" xfId="0" applyBorder="1"/>
    <xf numFmtId="0" fontId="10" fillId="0" borderId="22" xfId="3" applyFill="1"/>
    <xf numFmtId="0" fontId="10" fillId="0" borderId="24" xfId="3" applyFill="1" applyBorder="1"/>
    <xf numFmtId="1" fontId="10" fillId="0" borderId="22" xfId="3" applyNumberFormat="1"/>
    <xf numFmtId="0" fontId="10" fillId="4" borderId="1" xfId="0" applyFont="1" applyFill="1" applyBorder="1"/>
    <xf numFmtId="0" fontId="10" fillId="6" borderId="1" xfId="0" applyFont="1" applyFill="1" applyBorder="1"/>
    <xf numFmtId="0" fontId="10" fillId="5" borderId="1" xfId="0" applyFont="1" applyFill="1" applyBorder="1"/>
    <xf numFmtId="0" fontId="0" fillId="0" borderId="13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9" fillId="0" borderId="21" xfId="2" applyAlignment="1">
      <alignment horizontal="center"/>
    </xf>
    <xf numFmtId="0" fontId="10" fillId="0" borderId="1" xfId="0" applyFont="1" applyBorder="1" applyAlignment="1">
      <alignment horizontal="center"/>
    </xf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0" fillId="7" borderId="0" xfId="0" applyFill="1"/>
    <xf numFmtId="0" fontId="12" fillId="7" borderId="0" xfId="4" applyFill="1" applyAlignment="1">
      <alignment vertical="center"/>
    </xf>
    <xf numFmtId="0" fontId="12" fillId="7" borderId="0" xfId="4" applyFill="1"/>
    <xf numFmtId="0" fontId="13" fillId="7" borderId="0" xfId="0" applyFont="1" applyFill="1" applyAlignment="1">
      <alignment horizontal="center"/>
    </xf>
    <xf numFmtId="0" fontId="13" fillId="7" borderId="0" xfId="0" applyFont="1" applyFill="1"/>
    <xf numFmtId="0" fontId="13" fillId="7" borderId="0" xfId="0" applyFont="1" applyFill="1" applyAlignment="1">
      <alignment horizontal="left" vertical="center"/>
    </xf>
  </cellXfs>
  <cellStyles count="5">
    <cellStyle name="Heading 1" xfId="2" builtinId="16"/>
    <cellStyle name="Hyperlink" xfId="4" builtinId="8"/>
    <cellStyle name="Normal" xfId="0" builtinId="0"/>
    <cellStyle name="Output" xfId="1" builtinId="21"/>
    <cellStyle name="Total" xfId="3" builtinId="25"/>
  </cellStyles>
  <dxfs count="27">
    <dxf>
      <font>
        <color theme="1"/>
      </font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strike val="0"/>
        <color rgb="FFFF0000"/>
      </font>
      <fill>
        <patternFill>
          <bgColor rgb="FFFFFF00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/>
        </top>
      </border>
    </dxf>
    <dxf>
      <border outline="0">
        <top style="thin">
          <color theme="4"/>
        </top>
        <bottom style="double">
          <color theme="4"/>
        </bottom>
      </border>
    </dxf>
    <dxf>
      <border outline="0">
        <bottom style="double">
          <color theme="4"/>
        </bottom>
      </border>
    </dxf>
    <dxf>
      <numFmt numFmtId="1" formatCode="0"/>
    </dxf>
    <dxf>
      <border outline="0">
        <top style="thin">
          <color theme="4"/>
        </top>
      </border>
    </dxf>
    <dxf>
      <border outline="0">
        <top style="thin">
          <color theme="4"/>
        </top>
        <bottom style="double">
          <color theme="4"/>
        </bottom>
      </border>
    </dxf>
    <dxf>
      <border outline="0">
        <bottom style="double">
          <color theme="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35" dropStyle="combo" dx="16" fmlaLink="'cable size &amp; part #'!$B$7" fmlaRange="DATA2!$B$23:$B$55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35" dropStyle="combo" dx="16" fmlaLink="'cable size &amp; part #'!$D$7" fmlaRange="DATA2!$B$23:$B$55" sel="1" val="0"/>
</file>

<file path=xl/ctrlProps/ctrlProp4.xml><?xml version="1.0" encoding="utf-8"?>
<formControlPr xmlns="http://schemas.microsoft.com/office/spreadsheetml/2009/9/main" objectType="Drop" dropLines="35" dropStyle="combo" dx="16" fmlaLink="'cable size &amp; part #'!$J$4" fmlaRange="DATA2!$B$23:$B$55" sel="1" val="0"/>
</file>

<file path=xl/ctrlProps/ctrlProp5.xml><?xml version="1.0" encoding="utf-8"?>
<formControlPr xmlns="http://schemas.microsoft.com/office/spreadsheetml/2009/9/main" objectType="Drop" dropLines="35" dropStyle="combo" dx="16" fmlaLink="$J$6" fmlaRange="DATA2!$B$23:$B$55" sel="1" val="0"/>
</file>

<file path=xl/ctrlProps/ctrlProp6.xml><?xml version="1.0" encoding="utf-8"?>
<formControlPr xmlns="http://schemas.microsoft.com/office/spreadsheetml/2009/9/main" objectType="Drop" dropLines="35" dropStyle="combo" dx="16" fmlaLink="$J$8" fmlaRange="DATA2!$B$23:$B$55" sel="1" val="0"/>
</file>

<file path=xl/ctrlProps/ctrlProp7.xml><?xml version="1.0" encoding="utf-8"?>
<formControlPr xmlns="http://schemas.microsoft.com/office/spreadsheetml/2009/9/main" objectType="Drop" dropLines="35" dropStyle="combo" dx="16" fmlaLink="$J$10" fmlaRange="DATA2!$B$23:$B$55" sel="1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16" fmlaLink="$B$2" fmlaRange="DATA2!$L$2:$L$4" sel="1" val="0"/>
</file>

<file path=xl/ctrlProps/ctrlProp10.xml><?xml version="1.0" encoding="utf-8"?>
<formControlPr xmlns="http://schemas.microsoft.com/office/spreadsheetml/2009/9/main" objectType="Drop" dropLines="35" dropStyle="combo" dx="16" fmlaLink="'cable size &amp; part #'!$B$10" fmlaRange="DATA2!$B$23:$B$55" sel="1" val="0"/>
</file>

<file path=xl/ctrlProps/ctrlProp11.xml><?xml version="1.0" encoding="utf-8"?>
<formControlPr xmlns="http://schemas.microsoft.com/office/spreadsheetml/2009/9/main" objectType="Drop" dropLines="35" dropStyle="combo" dx="16" fmlaLink="'cable size &amp; part #'!$D$10" fmlaRange="DATA2!$B$23:$B$55" sel="1" val="0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19051</xdr:colOff>
      <xdr:row>2</xdr:row>
      <xdr:rowOff>809625</xdr:rowOff>
    </xdr:from>
    <xdr:to>
      <xdr:col>5</xdr:col>
      <xdr:colOff>428626</xdr:colOff>
      <xdr:row>2</xdr:row>
      <xdr:rowOff>1104900</xdr:rowOff>
    </xdr:to>
    <xdr:sp macro="" textlink="">
      <xdr:nvSpPr>
        <xdr:cNvPr id="19" name="Cable 5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505076" y="1333500"/>
          <a:ext cx="182880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Cable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</xdr:row>
          <xdr:rowOff>0</xdr:rowOff>
        </xdr:from>
        <xdr:to>
          <xdr:col>2</xdr:col>
          <xdr:colOff>1085850</xdr:colOff>
          <xdr:row>7</xdr:row>
          <xdr:rowOff>95250</xdr:rowOff>
        </xdr:to>
        <xdr:sp macro="" textlink="">
          <xdr:nvSpPr>
            <xdr:cNvPr id="2049" name="Drop Down 1" descr="TES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485775</xdr:colOff>
          <xdr:row>14</xdr:row>
          <xdr:rowOff>0</xdr:rowOff>
        </xdr:from>
        <xdr:to>
          <xdr:col>2</xdr:col>
          <xdr:colOff>809625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6</xdr:row>
          <xdr:rowOff>9525</xdr:rowOff>
        </xdr:from>
        <xdr:to>
          <xdr:col>5</xdr:col>
          <xdr:colOff>428625</xdr:colOff>
          <xdr:row>7</xdr:row>
          <xdr:rowOff>104775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</xdr:row>
          <xdr:rowOff>9525</xdr:rowOff>
        </xdr:from>
        <xdr:to>
          <xdr:col>10</xdr:col>
          <xdr:colOff>638175</xdr:colOff>
          <xdr:row>4</xdr:row>
          <xdr:rowOff>95250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5</xdr:row>
          <xdr:rowOff>0</xdr:rowOff>
        </xdr:from>
        <xdr:to>
          <xdr:col>10</xdr:col>
          <xdr:colOff>638175</xdr:colOff>
          <xdr:row>6</xdr:row>
          <xdr:rowOff>85725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9525</xdr:rowOff>
        </xdr:from>
        <xdr:to>
          <xdr:col>10</xdr:col>
          <xdr:colOff>638175</xdr:colOff>
          <xdr:row>8</xdr:row>
          <xdr:rowOff>95250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0</xdr:rowOff>
        </xdr:from>
        <xdr:to>
          <xdr:col>10</xdr:col>
          <xdr:colOff>638175</xdr:colOff>
          <xdr:row>10</xdr:row>
          <xdr:rowOff>85725</xdr:rowOff>
        </xdr:to>
        <xdr:sp macro="" textlink="">
          <xdr:nvSpPr>
            <xdr:cNvPr id="2067" name="Drop Dow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14</xdr:row>
          <xdr:rowOff>0</xdr:rowOff>
        </xdr:from>
        <xdr:to>
          <xdr:col>10</xdr:col>
          <xdr:colOff>19050</xdr:colOff>
          <xdr:row>16</xdr:row>
          <xdr:rowOff>104775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95251</xdr:colOff>
      <xdr:row>2</xdr:row>
      <xdr:rowOff>657225</xdr:rowOff>
    </xdr:from>
    <xdr:to>
      <xdr:col>2</xdr:col>
      <xdr:colOff>1171576</xdr:colOff>
      <xdr:row>2</xdr:row>
      <xdr:rowOff>952500</xdr:rowOff>
    </xdr:to>
    <xdr:sp macro="" textlink="">
      <xdr:nvSpPr>
        <xdr:cNvPr id="2" name="Cable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51" y="1181100"/>
          <a:ext cx="182880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Cable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1</xdr:col>
      <xdr:colOff>95251</xdr:colOff>
      <xdr:row>2</xdr:row>
      <xdr:rowOff>1009650</xdr:rowOff>
    </xdr:from>
    <xdr:to>
      <xdr:col>2</xdr:col>
      <xdr:colOff>1171576</xdr:colOff>
      <xdr:row>3</xdr:row>
      <xdr:rowOff>28575</xdr:rowOff>
    </xdr:to>
    <xdr:sp macro="" textlink="">
      <xdr:nvSpPr>
        <xdr:cNvPr id="11" name="Cable 3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90551" y="1533525"/>
          <a:ext cx="182880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100"/>
            <a:t>Cable 3</a:t>
          </a:r>
        </a:p>
      </xdr:txBody>
    </xdr:sp>
    <xdr:clientData/>
  </xdr:twoCellAnchor>
  <xdr:twoCellAnchor>
    <xdr:from>
      <xdr:col>3</xdr:col>
      <xdr:colOff>19051</xdr:colOff>
      <xdr:row>2</xdr:row>
      <xdr:rowOff>1019175</xdr:rowOff>
    </xdr:from>
    <xdr:to>
      <xdr:col>5</xdr:col>
      <xdr:colOff>428626</xdr:colOff>
      <xdr:row>3</xdr:row>
      <xdr:rowOff>38100</xdr:rowOff>
    </xdr:to>
    <xdr:sp macro="" textlink="">
      <xdr:nvSpPr>
        <xdr:cNvPr id="12" name="Cable 4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505076" y="1543050"/>
          <a:ext cx="182880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Cable 4</a:t>
          </a:r>
        </a:p>
      </xdr:txBody>
    </xdr:sp>
    <xdr:clientData/>
  </xdr:twoCellAnchor>
  <xdr:twoCellAnchor>
    <xdr:from>
      <xdr:col>3</xdr:col>
      <xdr:colOff>19051</xdr:colOff>
      <xdr:row>2</xdr:row>
      <xdr:rowOff>657225</xdr:rowOff>
    </xdr:from>
    <xdr:to>
      <xdr:col>5</xdr:col>
      <xdr:colOff>428626</xdr:colOff>
      <xdr:row>2</xdr:row>
      <xdr:rowOff>952500</xdr:rowOff>
    </xdr:to>
    <xdr:sp macro="" textlink="">
      <xdr:nvSpPr>
        <xdr:cNvPr id="13" name="Cable 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2505076" y="1181100"/>
          <a:ext cx="1828800" cy="295275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100"/>
            <a:t>Cable 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3</xdr:col>
          <xdr:colOff>161925</xdr:colOff>
          <xdr:row>2</xdr:row>
          <xdr:rowOff>133350</xdr:rowOff>
        </xdr:to>
        <xdr:sp macro="" textlink="">
          <xdr:nvSpPr>
            <xdr:cNvPr id="2069" name="Drop Dow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504825</xdr:colOff>
      <xdr:row>2</xdr:row>
      <xdr:rowOff>511394</xdr:rowOff>
    </xdr:from>
    <xdr:to>
      <xdr:col>3</xdr:col>
      <xdr:colOff>676275</xdr:colOff>
      <xdr:row>2</xdr:row>
      <xdr:rowOff>1111469</xdr:rowOff>
    </xdr:to>
    <xdr:sp macro="" textlink="">
      <xdr:nvSpPr>
        <xdr:cNvPr id="3" name="Crimp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52928" y="1036911"/>
          <a:ext cx="1412985" cy="600075"/>
        </a:xfrm>
        <a:prstGeom prst="rect">
          <a:avLst/>
        </a:prstGeom>
        <a:solidFill>
          <a:schemeClr val="accent3">
            <a:alpha val="5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504825</xdr:colOff>
      <xdr:row>2</xdr:row>
      <xdr:rowOff>514351</xdr:rowOff>
    </xdr:from>
    <xdr:to>
      <xdr:col>3</xdr:col>
      <xdr:colOff>676275</xdr:colOff>
      <xdr:row>3</xdr:row>
      <xdr:rowOff>171451</xdr:rowOff>
    </xdr:to>
    <xdr:sp macro="" textlink="">
      <xdr:nvSpPr>
        <xdr:cNvPr id="16" name="Crimp 2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752600" y="1038226"/>
          <a:ext cx="1409700" cy="933450"/>
        </a:xfrm>
        <a:prstGeom prst="rect">
          <a:avLst/>
        </a:prstGeom>
        <a:solidFill>
          <a:schemeClr val="accent3">
            <a:alpha val="50000"/>
          </a:schemeClr>
        </a:solidFill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1085850</xdr:colOff>
          <xdr:row>10</xdr:row>
          <xdr:rowOff>114300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28575</xdr:rowOff>
        </xdr:from>
        <xdr:to>
          <xdr:col>5</xdr:col>
          <xdr:colOff>419100</xdr:colOff>
          <xdr:row>10</xdr:row>
          <xdr:rowOff>123825</xdr:rowOff>
        </xdr:to>
        <xdr:sp macro="" textlink="">
          <xdr:nvSpPr>
            <xdr:cNvPr id="2071" name="Drop Dow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228600</xdr:colOff>
      <xdr:row>2</xdr:row>
      <xdr:rowOff>200024</xdr:rowOff>
    </xdr:from>
    <xdr:to>
      <xdr:col>2</xdr:col>
      <xdr:colOff>371475</xdr:colOff>
      <xdr:row>2</xdr:row>
      <xdr:rowOff>514349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23900" y="723899"/>
          <a:ext cx="895350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/>
            <a:t>Side</a:t>
          </a:r>
          <a:r>
            <a:rPr lang="en-US" sz="1600" baseline="0"/>
            <a:t> A</a:t>
          </a:r>
          <a:endParaRPr lang="en-US" sz="1600"/>
        </a:p>
      </xdr:txBody>
    </xdr:sp>
    <xdr:clientData/>
  </xdr:twoCellAnchor>
  <xdr:twoCellAnchor>
    <xdr:from>
      <xdr:col>3</xdr:col>
      <xdr:colOff>762000</xdr:colOff>
      <xdr:row>2</xdr:row>
      <xdr:rowOff>209549</xdr:rowOff>
    </xdr:from>
    <xdr:to>
      <xdr:col>5</xdr:col>
      <xdr:colOff>238125</xdr:colOff>
      <xdr:row>2</xdr:row>
      <xdr:rowOff>523874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3248025" y="733424"/>
          <a:ext cx="895350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600"/>
            <a:t>Side</a:t>
          </a:r>
          <a:r>
            <a:rPr lang="en-US" sz="1600" baseline="0"/>
            <a:t> B</a:t>
          </a:r>
          <a:endParaRPr lang="en-US" sz="16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C5:H14" totalsRowShown="0" headerRowBorderDxfId="26" tableBorderDxfId="25" totalsRowBorderDxfId="24" headerRowCellStyle="Total" dataCellStyle="Total">
  <autoFilter ref="C5:H14" xr:uid="{00000000-0009-0000-0100-000002000000}"/>
  <tableColumns count="6">
    <tableColumn id="1" xr3:uid="{00000000-0010-0000-0000-000001000000}" name="CABLES" dataCellStyle="Total"/>
    <tableColumn id="2" xr3:uid="{00000000-0010-0000-0000-000002000000}" name="LENGTHS" dataCellStyle="Total"/>
    <tableColumn id="3" xr3:uid="{00000000-0010-0000-0000-000003000000}" name="MULTIPLY" dataCellStyle="Total"/>
    <tableColumn id="4" xr3:uid="{00000000-0010-0000-0000-000004000000}" name="AMOUNT" dataCellStyle="Total"/>
    <tableColumn id="5" xr3:uid="{00000000-0010-0000-0000-000005000000}" name="DIVIDED" dataCellStyle="Total"/>
    <tableColumn id="6" xr3:uid="{00000000-0010-0000-0000-000006000000}" name="AMOUNT2" dataDxfId="23" dataCellStyle="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4" displayName="Table24" ref="J5:O14" totalsRowShown="0" headerRowBorderDxfId="22" tableBorderDxfId="21" totalsRowBorderDxfId="20" headerRowCellStyle="Total" dataCellStyle="Total">
  <autoFilter ref="J5:O14" xr:uid="{00000000-0009-0000-0100-000003000000}"/>
  <tableColumns count="6">
    <tableColumn id="1" xr3:uid="{00000000-0010-0000-0100-000001000000}" name="CABLES" dataDxfId="19" dataCellStyle="Total"/>
    <tableColumn id="2" xr3:uid="{00000000-0010-0000-0100-000002000000}" name="LENGTHS" dataCellStyle="Total"/>
    <tableColumn id="3" xr3:uid="{00000000-0010-0000-0100-000003000000}" name="MULTIPLY" dataCellStyle="Total"/>
    <tableColumn id="4" xr3:uid="{00000000-0010-0000-0100-000004000000}" name="AMOUNT" dataCellStyle="Total"/>
    <tableColumn id="5" xr3:uid="{00000000-0010-0000-0100-000005000000}" name="DIVIDED" dataCellStyle="Total"/>
    <tableColumn id="6" xr3:uid="{00000000-0010-0000-0100-000006000000}" name="AMOUNT2" dataDxfId="18" dataCellStyle="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22:E55" totalsRowShown="0" headerRowDxfId="17">
  <autoFilter ref="A22:E55" xr:uid="{00000000-0009-0000-0100-000001000000}"/>
  <tableColumns count="5">
    <tableColumn id="1" xr3:uid="{00000000-0010-0000-0200-000001000000}" name="Column1"/>
    <tableColumn id="2" xr3:uid="{00000000-0010-0000-0200-000002000000}" name="Column2"/>
    <tableColumn id="3" xr3:uid="{00000000-0010-0000-0200-000003000000}" name="Column3"/>
    <tableColumn id="4" xr3:uid="{00000000-0010-0000-0200-000004000000}" name="Column4" dataDxfId="16"/>
    <tableColumn id="5" xr3:uid="{00000000-0010-0000-0200-000005000000}" name="Column5" dataDxfId="1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F455C-4CF6-4974-98BE-6444DAA2A058}">
  <dimension ref="A1:H11"/>
  <sheetViews>
    <sheetView workbookViewId="0">
      <selection activeCell="F27" sqref="F27"/>
    </sheetView>
  </sheetViews>
  <sheetFormatPr defaultRowHeight="15" x14ac:dyDescent="0.25"/>
  <cols>
    <col min="1" max="16384" width="9.140625" style="55"/>
  </cols>
  <sheetData>
    <row r="1" spans="1:8" ht="21" x14ac:dyDescent="0.25">
      <c r="A1" s="54" t="s">
        <v>132</v>
      </c>
      <c r="B1" s="54"/>
      <c r="C1" s="54"/>
      <c r="D1" s="54"/>
      <c r="E1" s="54"/>
      <c r="F1" s="54"/>
      <c r="G1" s="54"/>
      <c r="H1" s="54"/>
    </row>
    <row r="3" spans="1:8" x14ac:dyDescent="0.25">
      <c r="A3" s="56" t="s">
        <v>133</v>
      </c>
    </row>
    <row r="4" spans="1:8" x14ac:dyDescent="0.25">
      <c r="A4" s="57" t="s">
        <v>134</v>
      </c>
    </row>
    <row r="5" spans="1:8" x14ac:dyDescent="0.25">
      <c r="A5" s="57" t="s">
        <v>135</v>
      </c>
    </row>
    <row r="7" spans="1:8" x14ac:dyDescent="0.25">
      <c r="A7" s="58" t="s">
        <v>136</v>
      </c>
      <c r="B7" s="58"/>
      <c r="C7" s="58"/>
      <c r="D7" s="58"/>
      <c r="E7" s="58"/>
      <c r="F7" s="59"/>
    </row>
    <row r="8" spans="1:8" x14ac:dyDescent="0.25">
      <c r="A8" s="60" t="s">
        <v>137</v>
      </c>
      <c r="B8" s="60"/>
      <c r="C8" s="60"/>
      <c r="D8" s="60"/>
      <c r="E8" s="60"/>
      <c r="F8" s="59"/>
    </row>
    <row r="9" spans="1:8" x14ac:dyDescent="0.25">
      <c r="A9" s="60" t="s">
        <v>138</v>
      </c>
      <c r="B9" s="60"/>
      <c r="C9" s="60"/>
      <c r="D9" s="60"/>
      <c r="E9" s="60"/>
      <c r="F9" s="59"/>
    </row>
    <row r="10" spans="1:8" x14ac:dyDescent="0.25">
      <c r="A10" s="60" t="s">
        <v>139</v>
      </c>
      <c r="B10" s="60"/>
      <c r="C10" s="60"/>
      <c r="D10" s="60"/>
      <c r="E10" s="60"/>
      <c r="F10" s="59"/>
    </row>
    <row r="11" spans="1:8" x14ac:dyDescent="0.25">
      <c r="A11" s="60" t="s">
        <v>140</v>
      </c>
      <c r="B11" s="60"/>
      <c r="C11" s="60"/>
      <c r="D11" s="60"/>
      <c r="E11" s="60"/>
      <c r="F11" s="59"/>
    </row>
  </sheetData>
  <mergeCells count="6">
    <mergeCell ref="A11:E11"/>
    <mergeCell ref="A1:H1"/>
    <mergeCell ref="A7:E7"/>
    <mergeCell ref="A8:E8"/>
    <mergeCell ref="A9:E9"/>
    <mergeCell ref="A10:E10"/>
  </mergeCells>
  <hyperlinks>
    <hyperlink ref="A3" location="'cable size &amp; part #'!A1" display="🔌 Cable Size &amp; Part Number Lookup" xr:uid="{4CD2243C-CC1E-450E-ADF8-CF78E24ED6DF}"/>
    <hyperlink ref="A4" location="'lead lengths'!A1" display="📏 Lead Length Calculator" xr:uid="{BDA8649B-9512-467E-8521-F985E665C0A9}"/>
    <hyperlink ref="A5" location="'avg lead lengths'!A1" display="📊 Lead Length Summary (Average)" xr:uid="{3012498C-DEA9-4462-8B5B-EC414B68B9A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2"/>
  <sheetViews>
    <sheetView showGridLines="0" zoomScaleNormal="100" workbookViewId="0">
      <selection activeCell="H23" sqref="H23"/>
    </sheetView>
  </sheetViews>
  <sheetFormatPr defaultRowHeight="15" x14ac:dyDescent="0.25"/>
  <cols>
    <col min="1" max="1" width="7.42578125" customWidth="1"/>
    <col min="2" max="2" width="11.28515625" customWidth="1"/>
    <col min="3" max="3" width="18.5703125" customWidth="1"/>
    <col min="4" max="4" width="12.140625" customWidth="1"/>
    <col min="8" max="8" width="5.28515625" customWidth="1"/>
    <col min="9" max="9" width="5.42578125" customWidth="1"/>
    <col min="10" max="10" width="24.85546875" bestFit="1" customWidth="1"/>
    <col min="11" max="11" width="11.140625" customWidth="1"/>
    <col min="13" max="13" width="13.85546875" customWidth="1"/>
    <col min="14" max="14" width="11" customWidth="1"/>
  </cols>
  <sheetData>
    <row r="1" spans="1:14" ht="26.25" customHeight="1" x14ac:dyDescent="0.4">
      <c r="A1" s="13"/>
      <c r="B1" s="14" t="s">
        <v>75</v>
      </c>
      <c r="C1" s="15"/>
      <c r="D1" s="15"/>
      <c r="E1" s="15"/>
      <c r="F1" s="15"/>
      <c r="G1" s="16"/>
      <c r="H1" s="13"/>
      <c r="I1" s="15"/>
      <c r="J1" s="14" t="s">
        <v>76</v>
      </c>
      <c r="K1" s="15"/>
      <c r="L1" s="15"/>
      <c r="M1" s="15"/>
      <c r="N1" s="16"/>
    </row>
    <row r="2" spans="1:14" x14ac:dyDescent="0.25">
      <c r="A2" s="17"/>
      <c r="B2">
        <v>1</v>
      </c>
      <c r="G2" s="18"/>
      <c r="H2" s="17"/>
      <c r="N2" s="18"/>
    </row>
    <row r="3" spans="1:14" ht="100.5" customHeight="1" x14ac:dyDescent="0.25">
      <c r="A3" s="17"/>
      <c r="G3" s="18"/>
      <c r="H3" s="17"/>
      <c r="N3" s="18"/>
    </row>
    <row r="4" spans="1:14" x14ac:dyDescent="0.25">
      <c r="A4" s="17"/>
      <c r="G4" s="18"/>
      <c r="H4" s="17"/>
      <c r="J4">
        <v>1</v>
      </c>
      <c r="L4" s="25" t="str">
        <f>_xlfn.IFNA(VLOOKUP(Parrallel1,DATA2!$A$24:$E$55,5,FALSE),"")</f>
        <v/>
      </c>
      <c r="N4" s="18"/>
    </row>
    <row r="5" spans="1:14" x14ac:dyDescent="0.25">
      <c r="A5" s="17"/>
      <c r="G5" s="18"/>
      <c r="H5" s="17"/>
      <c r="L5" s="25"/>
      <c r="N5" s="18"/>
    </row>
    <row r="6" spans="1:14" x14ac:dyDescent="0.25">
      <c r="A6" s="17"/>
      <c r="B6" t="s">
        <v>106</v>
      </c>
      <c r="D6" t="s">
        <v>107</v>
      </c>
      <c r="G6" s="18"/>
      <c r="H6" s="17"/>
      <c r="J6">
        <v>1</v>
      </c>
      <c r="L6" s="25" t="str">
        <f>_xlfn.IFNA(VLOOKUP(Parrallel2,DATA2!$A$24:$E$55,5,FALSE),"")</f>
        <v/>
      </c>
      <c r="N6" s="18"/>
    </row>
    <row r="7" spans="1:14" x14ac:dyDescent="0.25">
      <c r="A7" s="28" t="str">
        <f>_xlfn.IFNA(VLOOKUP(Butt1,DATA2!$A$24:$E$55,5,FALSE),"")</f>
        <v/>
      </c>
      <c r="B7" s="25">
        <v>1</v>
      </c>
      <c r="C7" s="25"/>
      <c r="D7" s="25">
        <v>1</v>
      </c>
      <c r="E7" s="23"/>
      <c r="G7" s="29" t="str">
        <f>_xlfn.IFNA(VLOOKUP(Butt2,DATA2!$A$24:$E$55,5,FALSE),"")</f>
        <v/>
      </c>
      <c r="H7" s="17"/>
      <c r="L7" s="25"/>
      <c r="N7" s="18"/>
    </row>
    <row r="8" spans="1:14" x14ac:dyDescent="0.25">
      <c r="A8" s="28" t="str">
        <f>IF(SUM(MCM_1,MCM_3)=0,"",SUM(MCM_1,MCM_3))</f>
        <v/>
      </c>
      <c r="B8" s="25"/>
      <c r="C8" s="25"/>
      <c r="D8" s="25"/>
      <c r="E8" s="23"/>
      <c r="G8" s="29" t="str">
        <f>IF(SUM(MCM_2,MCM_4)=0,"",SUM(MCM_2,MCM_4))</f>
        <v/>
      </c>
      <c r="H8" s="17"/>
      <c r="J8">
        <v>1</v>
      </c>
      <c r="L8" s="25" t="str">
        <f>_xlfn.IFNA(VLOOKUP(Parrallel3,DATA2!$A$24:$E$55,5,FALSE),"")</f>
        <v/>
      </c>
      <c r="N8" s="18"/>
    </row>
    <row r="9" spans="1:14" x14ac:dyDescent="0.25">
      <c r="A9" s="28"/>
      <c r="B9" s="24" t="str">
        <f>IF(OR(DrawingNo=2,DrawingNo=3),"Cable 3","")</f>
        <v/>
      </c>
      <c r="C9" s="24"/>
      <c r="D9" s="24" t="str">
        <f>IF(DrawingNo=3,"Cable 4","")</f>
        <v/>
      </c>
      <c r="E9" s="23"/>
      <c r="G9" s="29"/>
      <c r="H9" s="17"/>
      <c r="L9" s="25"/>
      <c r="N9" s="18"/>
    </row>
    <row r="10" spans="1:14" x14ac:dyDescent="0.25">
      <c r="A10" s="28" t="str">
        <f>_xlfn.IFNA(VLOOKUP(Butt3,DATA2!$A$24:$E$55,5,FALSE),"")</f>
        <v/>
      </c>
      <c r="B10" s="25">
        <v>1</v>
      </c>
      <c r="C10" s="26"/>
      <c r="D10" s="27">
        <v>1</v>
      </c>
      <c r="E10" s="23"/>
      <c r="F10" s="23"/>
      <c r="G10" s="29" t="str">
        <f>_xlfn.IFNA(VLOOKUP(Butt4,DATA2!$A$24:$E$55,5,FALSE),"")</f>
        <v/>
      </c>
      <c r="H10" s="17"/>
      <c r="J10">
        <v>1</v>
      </c>
      <c r="L10" s="25" t="str">
        <f>_xlfn.IFNA(VLOOKUP(Parrallel4,DATA2!$A$24:$E$55,5,FALSE),"")</f>
        <v/>
      </c>
      <c r="N10" s="18"/>
    </row>
    <row r="11" spans="1:14" ht="21.75" customHeight="1" x14ac:dyDescent="0.25">
      <c r="A11" s="31"/>
      <c r="G11" s="18"/>
      <c r="H11" s="17"/>
      <c r="L11" s="23"/>
      <c r="N11" s="18"/>
    </row>
    <row r="12" spans="1:14" x14ac:dyDescent="0.25">
      <c r="A12" s="17"/>
      <c r="B12" s="12" t="s">
        <v>46</v>
      </c>
      <c r="C12" s="4"/>
      <c r="D12" s="19" t="str">
        <f>_xlfn.IFNA(IF(SIDE_A&gt;SIDE_B,VLOOKUP(SIDE_A,DATA2!I6:J14,2,TRUE),VLOOKUP(SIDE_B,DATA2!I6:J14,2,TRUE)),"")</f>
        <v/>
      </c>
      <c r="G12" s="18"/>
      <c r="H12" s="17"/>
      <c r="J12" s="42" t="s">
        <v>77</v>
      </c>
      <c r="K12" s="43"/>
      <c r="L12" s="19" t="str">
        <f>IF(SUM(L4,L6,L8,L10)=0,"",IF(SUM(L4,L6,L8,L10)&gt;1200,"ERROR",SUM(L4,L6,L8,L10)))</f>
        <v/>
      </c>
      <c r="M12" t="str">
        <f>IF(L12="ERROR","MCM LIMIT EXCEEDED","")</f>
        <v/>
      </c>
      <c r="N12" s="18"/>
    </row>
    <row r="13" spans="1:14" x14ac:dyDescent="0.25">
      <c r="A13" s="17"/>
      <c r="B13" s="12" t="s">
        <v>47</v>
      </c>
      <c r="C13" s="4"/>
      <c r="D13" s="19" t="str">
        <f>_xlfn.IFNA(IF(AND(SIDE_A=SIDE_B,SIDE_A&lt;&gt;""),"N/A",(IF(SIDE_A&gt;SIDE_B,INDEX(DATA2!N6:N14,MATCH('cable size &amp; part #'!D12,DATA2!J6:J14,0))-SIDE_B&amp;" MCM",INDEX(DATA2!N6:N14,MATCH('cable size &amp; part #'!D12,DATA2!J6:J14,0))-SIDE_A&amp;" MCM"))),"")</f>
        <v/>
      </c>
      <c r="E13" t="str">
        <f>IF(OR(D13="N/A",D13=""),"",IF(SIDE_A&gt;SIDE_B,"MIN. FILL REQ'D ON SIDE B","MIN. FILL REQ'D ON SIDE A"))</f>
        <v/>
      </c>
      <c r="G13" s="18"/>
      <c r="H13" s="17"/>
      <c r="J13" s="12" t="s">
        <v>78</v>
      </c>
      <c r="K13" s="4"/>
      <c r="L13" s="19" t="str">
        <f>_xlfn.IFNA("KS"&amp;INDEX(DATA2!J22:J30,MATCH('cable size &amp; part #'!L12,DATA2!I22:I30,1)),"")</f>
        <v/>
      </c>
      <c r="N13" s="18"/>
    </row>
    <row r="14" spans="1:14" x14ac:dyDescent="0.25">
      <c r="A14" s="17"/>
      <c r="D14" s="30" t="str">
        <f>IF(D12="KS630F",1000-MAXA(SIDE_A,SIDE_B)&amp;" MCM","")</f>
        <v/>
      </c>
      <c r="E14" t="str">
        <f>IF(D12&lt;&gt;"KS630F","",(IF(AND(D12="KS630F",SIDE_A&gt;SIDE_B),"MIN. FILL REQ'D ON SIDE A","MIN. FILL REQ'D ON SIDE B")))</f>
        <v/>
      </c>
      <c r="G14" s="18"/>
      <c r="H14" s="17"/>
      <c r="L14" t="str">
        <f>IF(AND(899&lt;L12,L12&lt;999),1000-L12&amp;" MIN. MCM FILL REQ'D","")</f>
        <v/>
      </c>
      <c r="N14" s="18"/>
    </row>
    <row r="15" spans="1:14" x14ac:dyDescent="0.25">
      <c r="A15" s="17"/>
      <c r="C15" s="1"/>
      <c r="D15" s="2"/>
      <c r="G15" s="18"/>
      <c r="H15" s="17"/>
      <c r="N15" s="18"/>
    </row>
    <row r="16" spans="1:14" x14ac:dyDescent="0.25">
      <c r="A16" s="17"/>
      <c r="C16" s="1"/>
      <c r="D16" s="2"/>
      <c r="G16" s="18"/>
      <c r="H16" s="17"/>
      <c r="N16" s="18"/>
    </row>
    <row r="17" spans="1:14" x14ac:dyDescent="0.25">
      <c r="A17" s="17"/>
      <c r="C17" s="8"/>
      <c r="G17" s="18"/>
      <c r="H17" s="17"/>
      <c r="N17" s="18"/>
    </row>
    <row r="18" spans="1:14" x14ac:dyDescent="0.25">
      <c r="A18" s="17"/>
      <c r="G18" s="18"/>
      <c r="H18" s="17"/>
      <c r="N18" s="18"/>
    </row>
    <row r="19" spans="1:14" ht="15.75" thickBot="1" x14ac:dyDescent="0.3">
      <c r="A19" s="20"/>
      <c r="B19" s="21"/>
      <c r="C19" s="21"/>
      <c r="D19" s="21"/>
      <c r="E19" s="21"/>
      <c r="F19" s="21"/>
      <c r="G19" s="22"/>
      <c r="H19" s="20"/>
      <c r="I19" s="21"/>
      <c r="J19" s="21"/>
      <c r="K19" s="21"/>
      <c r="L19" s="21"/>
      <c r="M19" s="21"/>
      <c r="N19" s="22"/>
    </row>
    <row r="22" spans="1:14" x14ac:dyDescent="0.25">
      <c r="C22" t="str">
        <f>IFERROR(IF(MCM_1&lt;MCM_2,VLOOKUP(DATA2!H1,DATA2!G5:I14,3,FALSE)-MCM_1 &amp; " MIN. FILLER REQ'D @ CABLE 1 END",VLOOKUP(DATA2!H1,DATA2!G5:I14,3,FALSE)-MCM_2 &amp; " MIN. FILLER REQ'D @ CABLE 2 END"),"")</f>
        <v/>
      </c>
    </row>
  </sheetData>
  <sheetProtection selectLockedCells="1"/>
  <mergeCells count="1">
    <mergeCell ref="J12:K12"/>
  </mergeCells>
  <conditionalFormatting sqref="G14">
    <cfRule type="containsText" dxfId="14" priority="2" operator="containsText" text="TRUE">
      <formula>NOT(ISERROR(SEARCH("TRUE",G14)))</formula>
    </cfRule>
  </conditionalFormatting>
  <conditionalFormatting sqref="N8">
    <cfRule type="cellIs" priority="4" operator="equal">
      <formula>$D$10</formula>
    </cfRule>
  </conditionalFormatting>
  <conditionalFormatting sqref="L12">
    <cfRule type="containsText" dxfId="13" priority="1" operator="containsText" text="ERROR">
      <formula>NOT(ISERROR(SEARCH("ERROR",L12)))</formula>
    </cfRule>
  </conditionalFormatting>
  <dataValidations disablePrompts="1" xWindow="412" yWindow="370" count="1">
    <dataValidation allowBlank="1" showInputMessage="1" showErrorMessage="1" prompt="Hello" sqref="B3" xr:uid="{00000000-0002-0000-0000-000000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defaultSize="0" autoLine="0" autoPict="0" altText="TEST">
                <anchor moveWithCells="1">
                  <from>
                    <xdr:col>1</xdr:col>
                    <xdr:colOff>9525</xdr:colOff>
                    <xdr:row>6</xdr:row>
                    <xdr:rowOff>0</xdr:rowOff>
                  </from>
                  <to>
                    <xdr:col>2</xdr:col>
                    <xdr:colOff>1085850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_BUTT">
                <anchor moveWithCells="1" sizeWithCells="1">
                  <from>
                    <xdr:col>0</xdr:col>
                    <xdr:colOff>485775</xdr:colOff>
                    <xdr:row>14</xdr:row>
                    <xdr:rowOff>0</xdr:rowOff>
                  </from>
                  <to>
                    <xdr:col>2</xdr:col>
                    <xdr:colOff>809625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Drop Down 5">
              <controlPr defaultSize="0" autoLine="0" autoPict="0">
                <anchor moveWithCells="1">
                  <from>
                    <xdr:col>3</xdr:col>
                    <xdr:colOff>19050</xdr:colOff>
                    <xdr:row>6</xdr:row>
                    <xdr:rowOff>9525</xdr:rowOff>
                  </from>
                  <to>
                    <xdr:col>5</xdr:col>
                    <xdr:colOff>428625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Drop Down 8">
              <controlPr defaultSize="0" autoLine="0" autoPict="0">
                <anchor mov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10</xdr:col>
                    <xdr:colOff>638175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Drop Down 9">
              <controlPr defaultSize="0" autoLine="0" autoPict="0">
                <anchor moveWithCells="1">
                  <from>
                    <xdr:col>9</xdr:col>
                    <xdr:colOff>9525</xdr:colOff>
                    <xdr:row>5</xdr:row>
                    <xdr:rowOff>0</xdr:rowOff>
                  </from>
                  <to>
                    <xdr:col>10</xdr:col>
                    <xdr:colOff>638175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Drop Down 10">
              <controlPr defaultSize="0" autoLine="0" autoPict="0">
                <anchor moveWithCells="1">
                  <from>
                    <xdr:col>9</xdr:col>
                    <xdr:colOff>9525</xdr:colOff>
                    <xdr:row>7</xdr:row>
                    <xdr:rowOff>9525</xdr:rowOff>
                  </from>
                  <to>
                    <xdr:col>10</xdr:col>
                    <xdr:colOff>638175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0" name="Drop Down 19">
              <controlPr defaultSize="0" autoLine="0" autoPict="0">
                <anchor moveWithCells="1">
                  <from>
                    <xdr:col>9</xdr:col>
                    <xdr:colOff>9525</xdr:colOff>
                    <xdr:row>9</xdr:row>
                    <xdr:rowOff>0</xdr:rowOff>
                  </from>
                  <to>
                    <xdr:col>10</xdr:col>
                    <xdr:colOff>638175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1" name="Button 20">
              <controlPr defaultSize="0" print="0" autoFill="0" autoPict="0" macro="[0]!CLEAR_PARR">
                <anchor moveWithCells="1" sizeWithCells="1">
                  <from>
                    <xdr:col>9</xdr:col>
                    <xdr:colOff>0</xdr:colOff>
                    <xdr:row>14</xdr:row>
                    <xdr:rowOff>0</xdr:rowOff>
                  </from>
                  <to>
                    <xdr:col>10</xdr:col>
                    <xdr:colOff>19050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2" name="Drop Down 21">
              <controlPr defaultSize="0" autoLine="0" autoPict="0" macro="[0]!Butt_crimp_pic">
                <anchor mov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161925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3" name="Drop Down 22">
              <controlPr defaultSize="0" autoLine="0" autoPict="0">
                <anchor moveWithCells="1">
                  <from>
                    <xdr:col>1</xdr:col>
                    <xdr:colOff>9525</xdr:colOff>
                    <xdr:row>9</xdr:row>
                    <xdr:rowOff>19050</xdr:rowOff>
                  </from>
                  <to>
                    <xdr:col>2</xdr:col>
                    <xdr:colOff>1085850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4" name="Drop Down 23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28575</xdr:rowOff>
                  </from>
                  <to>
                    <xdr:col>5</xdr:col>
                    <xdr:colOff>419100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C4:O15"/>
  <sheetViews>
    <sheetView workbookViewId="0"/>
  </sheetViews>
  <sheetFormatPr defaultRowHeight="15" x14ac:dyDescent="0.25"/>
  <cols>
    <col min="3" max="3" width="9.7109375" bestFit="1" customWidth="1"/>
    <col min="4" max="4" width="11.28515625" bestFit="1" customWidth="1"/>
    <col min="5" max="5" width="12.140625" bestFit="1" customWidth="1"/>
    <col min="6" max="6" width="11.7109375" bestFit="1" customWidth="1"/>
    <col min="7" max="7" width="10.5703125" bestFit="1" customWidth="1"/>
    <col min="8" max="8" width="12.7109375" bestFit="1" customWidth="1"/>
    <col min="10" max="10" width="9.7109375" bestFit="1" customWidth="1"/>
    <col min="11" max="11" width="11.28515625" bestFit="1" customWidth="1"/>
    <col min="12" max="12" width="12.140625" bestFit="1" customWidth="1"/>
    <col min="13" max="13" width="11.7109375" bestFit="1" customWidth="1"/>
    <col min="14" max="14" width="10.5703125" bestFit="1" customWidth="1"/>
    <col min="15" max="15" width="12.7109375" bestFit="1" customWidth="1"/>
  </cols>
  <sheetData>
    <row r="4" spans="3:15" ht="20.25" thickBot="1" x14ac:dyDescent="0.35">
      <c r="C4" s="44" t="s">
        <v>130</v>
      </c>
      <c r="D4" s="44"/>
      <c r="E4" s="44"/>
      <c r="F4" s="44"/>
      <c r="G4" s="44"/>
      <c r="H4" s="44"/>
      <c r="J4" s="44" t="s">
        <v>129</v>
      </c>
      <c r="K4" s="44"/>
      <c r="L4" s="44"/>
      <c r="M4" s="44"/>
      <c r="N4" s="44"/>
      <c r="O4" s="44"/>
    </row>
    <row r="5" spans="3:15" ht="16.5" thickTop="1" thickBot="1" x14ac:dyDescent="0.3">
      <c r="C5" s="34" t="s">
        <v>115</v>
      </c>
      <c r="D5" s="34" t="s">
        <v>114</v>
      </c>
      <c r="E5" s="34" t="s">
        <v>113</v>
      </c>
      <c r="F5" s="34" t="s">
        <v>111</v>
      </c>
      <c r="G5" s="34" t="s">
        <v>112</v>
      </c>
      <c r="H5" s="34" t="s">
        <v>116</v>
      </c>
      <c r="J5" s="34" t="s">
        <v>115</v>
      </c>
      <c r="K5" s="34" t="s">
        <v>114</v>
      </c>
      <c r="L5" s="34" t="s">
        <v>113</v>
      </c>
      <c r="M5" s="34" t="s">
        <v>111</v>
      </c>
      <c r="N5" s="34" t="s">
        <v>112</v>
      </c>
      <c r="O5" s="34" t="s">
        <v>116</v>
      </c>
    </row>
    <row r="6" spans="3:15" ht="16.5" thickTop="1" thickBot="1" x14ac:dyDescent="0.3">
      <c r="C6" s="32" t="s">
        <v>131</v>
      </c>
      <c r="D6" s="32"/>
      <c r="E6" s="32">
        <v>3</v>
      </c>
      <c r="F6" s="33">
        <f>D6*E6</f>
        <v>0</v>
      </c>
      <c r="G6" s="32">
        <v>1000</v>
      </c>
      <c r="H6" s="38">
        <f>F6/G6</f>
        <v>0</v>
      </c>
      <c r="J6" s="32" t="s">
        <v>131</v>
      </c>
      <c r="K6" s="32"/>
      <c r="L6" s="32">
        <v>3</v>
      </c>
      <c r="M6" s="33">
        <f>K6*L6</f>
        <v>0</v>
      </c>
      <c r="N6" s="32">
        <v>1000</v>
      </c>
      <c r="O6" s="38">
        <f>M6/N6</f>
        <v>0</v>
      </c>
    </row>
    <row r="7" spans="3:15" ht="16.5" thickTop="1" thickBot="1" x14ac:dyDescent="0.3">
      <c r="C7" s="32"/>
      <c r="D7" s="32"/>
      <c r="E7" s="32">
        <v>1.1000000000000001</v>
      </c>
      <c r="F7" s="33">
        <f>(Table2[[#This Row],[LENGTHS]]+D8+D9+D10+D11+D12+D13+D14)*Table2[[#This Row],[MULTIPLY]]</f>
        <v>0</v>
      </c>
      <c r="G7" s="32"/>
      <c r="H7" s="38">
        <f>Table2[[#This Row],[AMOUNT]]</f>
        <v>0</v>
      </c>
      <c r="J7" s="32"/>
      <c r="K7" s="36"/>
      <c r="L7" s="32">
        <v>1.1000000000000001</v>
      </c>
      <c r="M7" s="33">
        <f>Table24[[#This Row],[LENGTHS]]*Table24[[#This Row],[MULTIPLY]]</f>
        <v>0</v>
      </c>
      <c r="N7" s="32"/>
      <c r="O7" s="38">
        <f>Table24[[#This Row],[AMOUNT]]</f>
        <v>0</v>
      </c>
    </row>
    <row r="8" spans="3:15" ht="16.5" thickTop="1" thickBot="1" x14ac:dyDescent="0.3">
      <c r="C8" s="36"/>
      <c r="D8" s="36"/>
      <c r="E8" s="32"/>
      <c r="F8" s="33"/>
      <c r="G8" s="32"/>
      <c r="H8" s="38"/>
      <c r="J8" s="36"/>
      <c r="K8" s="36"/>
      <c r="L8" s="32">
        <v>1.1000000000000001</v>
      </c>
      <c r="M8" s="33">
        <f>K8*L8</f>
        <v>0</v>
      </c>
      <c r="N8" s="32"/>
      <c r="O8" s="38">
        <f>Table24[[#This Row],[AMOUNT]]</f>
        <v>0</v>
      </c>
    </row>
    <row r="9" spans="3:15" ht="16.5" thickTop="1" thickBot="1" x14ac:dyDescent="0.3">
      <c r="C9" s="32"/>
      <c r="D9" s="32"/>
      <c r="E9" s="32"/>
      <c r="F9" s="33"/>
      <c r="G9" s="32"/>
      <c r="H9" s="38"/>
      <c r="J9" s="32"/>
      <c r="K9" s="32"/>
      <c r="L9" s="32">
        <v>1.1000000000000001</v>
      </c>
      <c r="M9" s="33">
        <f>K9*L9</f>
        <v>0</v>
      </c>
      <c r="N9" s="32"/>
      <c r="O9" s="38">
        <f>Table24[[#This Row],[AMOUNT]]</f>
        <v>0</v>
      </c>
    </row>
    <row r="10" spans="3:15" ht="16.5" thickTop="1" thickBot="1" x14ac:dyDescent="0.3">
      <c r="C10" s="32"/>
      <c r="D10" s="32"/>
      <c r="E10" s="32"/>
      <c r="F10" s="33"/>
      <c r="G10" s="32"/>
      <c r="H10" s="38"/>
      <c r="J10" s="32"/>
      <c r="K10" s="32"/>
      <c r="L10" s="32">
        <v>1.1000000000000001</v>
      </c>
      <c r="M10" s="33">
        <f>K10*L10</f>
        <v>0</v>
      </c>
      <c r="N10" s="32"/>
      <c r="O10" s="38">
        <f>Table24[[#This Row],[AMOUNT]]</f>
        <v>0</v>
      </c>
    </row>
    <row r="11" spans="3:15" ht="16.5" thickTop="1" thickBot="1" x14ac:dyDescent="0.3">
      <c r="C11" s="36"/>
      <c r="D11" s="36"/>
      <c r="E11" s="36"/>
      <c r="F11" s="33"/>
      <c r="G11" s="36"/>
      <c r="H11" s="38"/>
      <c r="J11" s="36"/>
      <c r="K11" s="36"/>
      <c r="L11" s="36">
        <v>1.1000000000000001</v>
      </c>
      <c r="M11" s="33">
        <f t="shared" ref="M11:M13" si="0">K11*L11</f>
        <v>0</v>
      </c>
      <c r="N11" s="36"/>
      <c r="O11" s="38">
        <f>Table24[[#This Row],[AMOUNT]]</f>
        <v>0</v>
      </c>
    </row>
    <row r="12" spans="3:15" ht="16.5" thickTop="1" thickBot="1" x14ac:dyDescent="0.3">
      <c r="C12" s="36"/>
      <c r="D12" s="36"/>
      <c r="E12" s="36"/>
      <c r="F12" s="33"/>
      <c r="G12" s="36"/>
      <c r="H12" s="38"/>
      <c r="J12" s="36"/>
      <c r="K12" s="36"/>
      <c r="L12" s="36">
        <v>1.1000000000000001</v>
      </c>
      <c r="M12" s="33">
        <f t="shared" si="0"/>
        <v>0</v>
      </c>
      <c r="N12" s="36"/>
      <c r="O12" s="38">
        <f>Table24[[#This Row],[AMOUNT]]</f>
        <v>0</v>
      </c>
    </row>
    <row r="13" spans="3:15" ht="16.5" thickTop="1" thickBot="1" x14ac:dyDescent="0.3">
      <c r="C13" s="36"/>
      <c r="D13" s="36"/>
      <c r="E13" s="36"/>
      <c r="F13" s="33"/>
      <c r="G13" s="36"/>
      <c r="H13" s="38"/>
      <c r="J13" s="36"/>
      <c r="K13" s="36"/>
      <c r="L13" s="36">
        <v>1.1000000000000001</v>
      </c>
      <c r="M13" s="33">
        <f t="shared" si="0"/>
        <v>0</v>
      </c>
      <c r="N13" s="36"/>
      <c r="O13" s="38">
        <f>Table24[[#This Row],[AMOUNT]]</f>
        <v>0</v>
      </c>
    </row>
    <row r="14" spans="3:15" ht="16.5" thickTop="1" thickBot="1" x14ac:dyDescent="0.3">
      <c r="C14" s="37"/>
      <c r="D14" s="37"/>
      <c r="E14" s="36"/>
      <c r="F14" s="33"/>
      <c r="G14" s="36"/>
      <c r="H14" s="38"/>
      <c r="J14" s="37"/>
      <c r="K14" s="37"/>
      <c r="L14" s="36">
        <v>1.1000000000000001</v>
      </c>
      <c r="M14" s="33">
        <f t="shared" ref="M14" si="1">K14*L14</f>
        <v>0</v>
      </c>
      <c r="N14" s="36"/>
      <c r="O14" s="38">
        <f>Table24[[#This Row],[AMOUNT]]</f>
        <v>0</v>
      </c>
    </row>
    <row r="15" spans="3:15" ht="15.75" thickTop="1" x14ac:dyDescent="0.25"/>
  </sheetData>
  <mergeCells count="2">
    <mergeCell ref="C4:H4"/>
    <mergeCell ref="J4:O4"/>
  </mergeCells>
  <conditionalFormatting sqref="F14 H14 M14 O14 H9:H12 H6 F9:F12 O9:O12 O6:O7 M9:M12 M6:M7 F6:F7">
    <cfRule type="cellIs" dxfId="12" priority="19" operator="greaterThan">
      <formula>0.01</formula>
    </cfRule>
    <cfRule type="cellIs" dxfId="11" priority="20" operator="equal">
      <formula>0</formula>
    </cfRule>
  </conditionalFormatting>
  <conditionalFormatting sqref="H8 F8">
    <cfRule type="cellIs" dxfId="10" priority="13" operator="greaterThan">
      <formula>0.01</formula>
    </cfRule>
    <cfRule type="cellIs" dxfId="9" priority="14" operator="equal">
      <formula>0</formula>
    </cfRule>
  </conditionalFormatting>
  <conditionalFormatting sqref="O8 M8">
    <cfRule type="cellIs" dxfId="8" priority="11" operator="greaterThan">
      <formula>0.01</formula>
    </cfRule>
    <cfRule type="cellIs" dxfId="7" priority="12" operator="equal">
      <formula>0</formula>
    </cfRule>
  </conditionalFormatting>
  <conditionalFormatting sqref="F13 H13">
    <cfRule type="cellIs" dxfId="6" priority="5" operator="greaterThan">
      <formula>0.01</formula>
    </cfRule>
    <cfRule type="cellIs" dxfId="5" priority="6" operator="equal">
      <formula>0</formula>
    </cfRule>
  </conditionalFormatting>
  <conditionalFormatting sqref="M13 O13">
    <cfRule type="cellIs" dxfId="4" priority="3" operator="greaterThan">
      <formula>0.01</formula>
    </cfRule>
    <cfRule type="cellIs" dxfId="3" priority="4" operator="equal">
      <formula>0</formula>
    </cfRule>
  </conditionalFormatting>
  <conditionalFormatting sqref="H7">
    <cfRule type="cellIs" dxfId="2" priority="1" operator="greaterThan">
      <formula>0.01</formula>
    </cfRule>
    <cfRule type="cellIs" dxfId="1" priority="2" operator="equal">
      <formula>0</formula>
    </cfRule>
  </conditionalFormatting>
  <pageMargins left="0.7" right="0.7" top="0.75" bottom="0.75" header="0.3" footer="0.3"/>
  <ignoredErrors>
    <ignoredError sqref="M7" formula="1"/>
  </ignoredErrors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2"/>
  <sheetViews>
    <sheetView showZeros="0" workbookViewId="0"/>
  </sheetViews>
  <sheetFormatPr defaultRowHeight="15" x14ac:dyDescent="0.25"/>
  <cols>
    <col min="3" max="3" width="12.7109375" bestFit="1" customWidth="1"/>
    <col min="8" max="8" width="12.7109375" bestFit="1" customWidth="1"/>
    <col min="11" max="11" width="12" bestFit="1" customWidth="1"/>
    <col min="13" max="13" width="12.7109375" bestFit="1" customWidth="1"/>
  </cols>
  <sheetData>
    <row r="1" spans="1:14" x14ac:dyDescent="0.25">
      <c r="A1" s="39" t="s">
        <v>117</v>
      </c>
      <c r="C1" s="35" t="s">
        <v>120</v>
      </c>
      <c r="D1" s="35">
        <f>MAX(A3:A300)</f>
        <v>0</v>
      </c>
      <c r="F1" s="40" t="s">
        <v>118</v>
      </c>
      <c r="H1" s="35" t="s">
        <v>120</v>
      </c>
      <c r="I1" s="35">
        <f>MAX(F3:F300)</f>
        <v>0</v>
      </c>
      <c r="K1" s="41" t="s">
        <v>119</v>
      </c>
      <c r="M1" s="35" t="s">
        <v>120</v>
      </c>
      <c r="N1" s="35">
        <f>MAX(K3:K300)</f>
        <v>0</v>
      </c>
    </row>
    <row r="2" spans="1:14" x14ac:dyDescent="0.25">
      <c r="A2" s="35" t="s">
        <v>114</v>
      </c>
      <c r="C2" s="35" t="s">
        <v>121</v>
      </c>
      <c r="D2" s="35">
        <f>MIN(A3:A300)</f>
        <v>0</v>
      </c>
      <c r="F2" s="35" t="s">
        <v>114</v>
      </c>
      <c r="H2" s="35" t="s">
        <v>121</v>
      </c>
      <c r="I2" s="35">
        <f>MIN(F3:F300)</f>
        <v>0</v>
      </c>
      <c r="K2" s="35" t="s">
        <v>114</v>
      </c>
      <c r="M2" s="35" t="s">
        <v>121</v>
      </c>
      <c r="N2" s="35">
        <f>MIN(K3:K300)</f>
        <v>0</v>
      </c>
    </row>
    <row r="3" spans="1:14" x14ac:dyDescent="0.25">
      <c r="C3" s="35" t="s">
        <v>122</v>
      </c>
      <c r="D3" s="35">
        <f>SUM(D1:D2)</f>
        <v>0</v>
      </c>
      <c r="H3" s="35" t="s">
        <v>122</v>
      </c>
      <c r="I3" s="35">
        <f>SUM(I1:I2)</f>
        <v>0</v>
      </c>
      <c r="M3" s="35" t="s">
        <v>122</v>
      </c>
      <c r="N3" s="35">
        <f>SUM(N1:N2)</f>
        <v>0</v>
      </c>
    </row>
    <row r="4" spans="1:14" x14ac:dyDescent="0.25">
      <c r="C4" s="35" t="s">
        <v>123</v>
      </c>
      <c r="D4" s="35">
        <f>D3/2</f>
        <v>0</v>
      </c>
      <c r="H4" s="35" t="s">
        <v>123</v>
      </c>
      <c r="I4" s="35">
        <f>I3/2</f>
        <v>0</v>
      </c>
      <c r="M4" s="35" t="s">
        <v>123</v>
      </c>
      <c r="N4" s="35">
        <f>N3/2</f>
        <v>0</v>
      </c>
    </row>
    <row r="5" spans="1:14" x14ac:dyDescent="0.25">
      <c r="C5" s="35" t="s">
        <v>124</v>
      </c>
      <c r="D5" s="35">
        <f>CEILING(D4,10)</f>
        <v>0</v>
      </c>
      <c r="H5" s="35" t="s">
        <v>124</v>
      </c>
      <c r="I5" s="35">
        <f>CEILING(I4,10)</f>
        <v>0</v>
      </c>
      <c r="M5" s="35" t="s">
        <v>124</v>
      </c>
      <c r="N5" s="35">
        <f>CEILING(N4,10)</f>
        <v>0</v>
      </c>
    </row>
    <row r="9" spans="1:14" x14ac:dyDescent="0.25">
      <c r="C9" s="45" t="s">
        <v>125</v>
      </c>
      <c r="D9" s="45"/>
      <c r="H9" s="45" t="s">
        <v>125</v>
      </c>
      <c r="I9" s="45"/>
      <c r="M9" s="45" t="s">
        <v>125</v>
      </c>
      <c r="N9" s="45"/>
    </row>
    <row r="10" spans="1:14" x14ac:dyDescent="0.25">
      <c r="C10" s="35" t="s">
        <v>126</v>
      </c>
      <c r="D10" s="35"/>
      <c r="H10" s="35" t="s">
        <v>126</v>
      </c>
      <c r="I10" s="35"/>
      <c r="M10" s="35" t="s">
        <v>126</v>
      </c>
      <c r="N10" s="35"/>
    </row>
    <row r="11" spans="1:14" x14ac:dyDescent="0.25">
      <c r="C11" s="35" t="s">
        <v>127</v>
      </c>
      <c r="D11" s="35">
        <f>D5</f>
        <v>0</v>
      </c>
      <c r="H11" s="35" t="s">
        <v>127</v>
      </c>
      <c r="I11" s="35">
        <f>I5</f>
        <v>0</v>
      </c>
      <c r="M11" s="35" t="s">
        <v>127</v>
      </c>
      <c r="N11" s="35">
        <f>N5</f>
        <v>0</v>
      </c>
    </row>
    <row r="12" spans="1:14" x14ac:dyDescent="0.25">
      <c r="C12" s="35" t="s">
        <v>128</v>
      </c>
      <c r="D12" s="35">
        <f>D10-D11</f>
        <v>0</v>
      </c>
      <c r="H12" s="35" t="s">
        <v>128</v>
      </c>
      <c r="I12" s="35">
        <f>I10-I11</f>
        <v>0</v>
      </c>
      <c r="M12" s="35" t="s">
        <v>128</v>
      </c>
      <c r="N12" s="35">
        <f>N10-N11</f>
        <v>0</v>
      </c>
    </row>
  </sheetData>
  <mergeCells count="3">
    <mergeCell ref="C9:D9"/>
    <mergeCell ref="H9:I9"/>
    <mergeCell ref="M9:N9"/>
  </mergeCells>
  <conditionalFormatting sqref="A3:A1048576 D1:D1048576 F3:F1048576 I1:I1048576 K3:K1048576 N1:N1048576">
    <cfRule type="notContainsBlanks" dxfId="0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H104"/>
  <sheetViews>
    <sheetView topLeftCell="A19" zoomScale="85" zoomScaleNormal="85" workbookViewId="0">
      <selection activeCell="G51" sqref="G51"/>
    </sheetView>
  </sheetViews>
  <sheetFormatPr defaultRowHeight="15" x14ac:dyDescent="0.25"/>
  <cols>
    <col min="2" max="2" width="7.7109375" customWidth="1"/>
    <col min="3" max="3" width="11.28515625" customWidth="1"/>
    <col min="4" max="4" width="7.42578125" bestFit="1" customWidth="1"/>
    <col min="5" max="5" width="11.42578125" bestFit="1" customWidth="1"/>
    <col min="6" max="6" width="13.42578125" bestFit="1" customWidth="1"/>
    <col min="7" max="7" width="16.5703125" customWidth="1"/>
    <col min="8" max="8" width="10" customWidth="1"/>
  </cols>
  <sheetData>
    <row r="1" spans="1:8" ht="30.75" customHeight="1" thickTop="1" thickBot="1" x14ac:dyDescent="0.3">
      <c r="A1" s="46" t="s">
        <v>21</v>
      </c>
      <c r="B1" s="47"/>
      <c r="C1" s="47"/>
      <c r="D1" s="47"/>
      <c r="E1" s="47"/>
      <c r="F1" s="47"/>
      <c r="G1" s="47"/>
      <c r="H1" s="48"/>
    </row>
    <row r="2" spans="1:8" ht="25.5" x14ac:dyDescent="0.25">
      <c r="A2" s="49" t="s">
        <v>22</v>
      </c>
      <c r="B2" s="5" t="s">
        <v>23</v>
      </c>
      <c r="C2" s="51" t="s">
        <v>25</v>
      </c>
      <c r="D2" s="51" t="s">
        <v>26</v>
      </c>
      <c r="E2" s="51" t="s">
        <v>27</v>
      </c>
      <c r="F2" s="51" t="s">
        <v>28</v>
      </c>
      <c r="G2" s="5" t="s">
        <v>29</v>
      </c>
      <c r="H2" s="5" t="s">
        <v>31</v>
      </c>
    </row>
    <row r="3" spans="1:8" ht="26.25" thickBot="1" x14ac:dyDescent="0.3">
      <c r="A3" s="50"/>
      <c r="B3" s="6" t="s">
        <v>24</v>
      </c>
      <c r="C3" s="52"/>
      <c r="D3" s="52"/>
      <c r="E3" s="52"/>
      <c r="F3" s="52"/>
      <c r="G3" s="7" t="s">
        <v>30</v>
      </c>
      <c r="H3" s="7" t="s">
        <v>32</v>
      </c>
    </row>
    <row r="4" spans="1:8" ht="15.75" thickTop="1" x14ac:dyDescent="0.25">
      <c r="A4">
        <v>150</v>
      </c>
      <c r="B4">
        <v>172</v>
      </c>
      <c r="C4">
        <v>1</v>
      </c>
      <c r="D4" t="s">
        <v>33</v>
      </c>
      <c r="E4">
        <v>3</v>
      </c>
      <c r="G4" t="s">
        <v>141</v>
      </c>
      <c r="H4">
        <v>13.9</v>
      </c>
    </row>
    <row r="5" spans="1:8" x14ac:dyDescent="0.25">
      <c r="A5">
        <v>150</v>
      </c>
      <c r="B5">
        <v>293</v>
      </c>
      <c r="C5">
        <v>2</v>
      </c>
      <c r="D5" t="s">
        <v>33</v>
      </c>
      <c r="E5">
        <v>3</v>
      </c>
      <c r="G5" t="s">
        <v>142</v>
      </c>
      <c r="H5">
        <v>12.8</v>
      </c>
    </row>
    <row r="6" spans="1:8" x14ac:dyDescent="0.25">
      <c r="A6">
        <v>150</v>
      </c>
      <c r="B6">
        <v>403</v>
      </c>
      <c r="C6">
        <v>3</v>
      </c>
      <c r="D6" t="s">
        <v>33</v>
      </c>
      <c r="E6">
        <v>3</v>
      </c>
      <c r="G6" t="s">
        <v>141</v>
      </c>
      <c r="H6">
        <v>12.4</v>
      </c>
    </row>
    <row r="7" spans="1:8" x14ac:dyDescent="0.25">
      <c r="A7">
        <v>150</v>
      </c>
      <c r="B7">
        <v>537</v>
      </c>
      <c r="C7">
        <v>4</v>
      </c>
      <c r="D7" t="s">
        <v>33</v>
      </c>
      <c r="E7">
        <v>3</v>
      </c>
      <c r="G7" t="s">
        <v>141</v>
      </c>
      <c r="H7">
        <v>14</v>
      </c>
    </row>
    <row r="8" spans="1:8" x14ac:dyDescent="0.25">
      <c r="A8">
        <v>150</v>
      </c>
      <c r="B8">
        <v>234</v>
      </c>
      <c r="C8">
        <v>1</v>
      </c>
      <c r="D8" t="s">
        <v>40</v>
      </c>
      <c r="E8">
        <v>3</v>
      </c>
      <c r="F8">
        <v>150</v>
      </c>
      <c r="G8" t="s">
        <v>143</v>
      </c>
      <c r="H8">
        <v>15.9</v>
      </c>
    </row>
    <row r="9" spans="1:8" x14ac:dyDescent="0.25">
      <c r="A9">
        <v>150</v>
      </c>
      <c r="B9">
        <v>455</v>
      </c>
      <c r="C9">
        <v>2</v>
      </c>
      <c r="D9" t="s">
        <v>40</v>
      </c>
      <c r="E9">
        <v>3</v>
      </c>
      <c r="F9">
        <v>150</v>
      </c>
      <c r="G9" t="s">
        <v>143</v>
      </c>
      <c r="H9">
        <v>16</v>
      </c>
    </row>
    <row r="10" spans="1:8" x14ac:dyDescent="0.25">
      <c r="A10">
        <v>150</v>
      </c>
      <c r="B10">
        <v>670</v>
      </c>
      <c r="C10">
        <v>3</v>
      </c>
      <c r="D10" t="s">
        <v>40</v>
      </c>
      <c r="E10">
        <v>3</v>
      </c>
      <c r="F10">
        <v>150</v>
      </c>
      <c r="G10" t="s">
        <v>144</v>
      </c>
      <c r="H10">
        <v>16</v>
      </c>
    </row>
    <row r="11" spans="1:8" x14ac:dyDescent="0.25">
      <c r="A11">
        <v>150</v>
      </c>
      <c r="B11">
        <v>821</v>
      </c>
      <c r="C11">
        <v>4</v>
      </c>
      <c r="D11" t="s">
        <v>40</v>
      </c>
      <c r="E11">
        <v>3</v>
      </c>
      <c r="F11">
        <v>150</v>
      </c>
      <c r="G11" t="s">
        <v>144</v>
      </c>
      <c r="H11">
        <v>14.6</v>
      </c>
    </row>
    <row r="12" spans="1:8" x14ac:dyDescent="0.25">
      <c r="A12">
        <v>150</v>
      </c>
      <c r="B12">
        <v>511</v>
      </c>
      <c r="C12">
        <v>1</v>
      </c>
      <c r="D12" t="s">
        <v>39</v>
      </c>
      <c r="E12">
        <v>3</v>
      </c>
      <c r="F12">
        <v>150</v>
      </c>
      <c r="G12" t="s">
        <v>145</v>
      </c>
      <c r="H12">
        <v>19.100000000000001</v>
      </c>
    </row>
    <row r="13" spans="1:8" x14ac:dyDescent="0.25">
      <c r="A13">
        <v>150</v>
      </c>
      <c r="B13">
        <v>921</v>
      </c>
      <c r="C13">
        <v>2</v>
      </c>
      <c r="D13" t="s">
        <v>39</v>
      </c>
      <c r="E13">
        <v>3</v>
      </c>
      <c r="F13">
        <v>150</v>
      </c>
      <c r="G13" t="s">
        <v>146</v>
      </c>
      <c r="H13">
        <v>18.600000000000001</v>
      </c>
    </row>
    <row r="14" spans="1:8" x14ac:dyDescent="0.25">
      <c r="A14">
        <v>150</v>
      </c>
      <c r="B14">
        <v>1323</v>
      </c>
      <c r="C14">
        <v>3</v>
      </c>
      <c r="D14" t="s">
        <v>39</v>
      </c>
      <c r="E14">
        <v>3</v>
      </c>
      <c r="F14">
        <v>150</v>
      </c>
      <c r="G14" t="s">
        <v>147</v>
      </c>
      <c r="H14">
        <v>20.100000000000001</v>
      </c>
    </row>
    <row r="15" spans="1:8" x14ac:dyDescent="0.25">
      <c r="A15">
        <v>150</v>
      </c>
      <c r="B15">
        <v>1686</v>
      </c>
      <c r="C15">
        <v>4</v>
      </c>
      <c r="D15" t="s">
        <v>39</v>
      </c>
      <c r="E15">
        <v>3</v>
      </c>
      <c r="F15">
        <v>150</v>
      </c>
      <c r="G15" t="s">
        <v>145</v>
      </c>
      <c r="H15">
        <v>19.600000000000001</v>
      </c>
    </row>
    <row r="16" spans="1:8" x14ac:dyDescent="0.25">
      <c r="A16">
        <v>150</v>
      </c>
      <c r="B16">
        <v>710</v>
      </c>
      <c r="C16">
        <v>1</v>
      </c>
      <c r="D16" t="s">
        <v>34</v>
      </c>
      <c r="E16">
        <v>3</v>
      </c>
      <c r="F16">
        <v>150</v>
      </c>
      <c r="G16" t="s">
        <v>148</v>
      </c>
      <c r="H16">
        <v>23.8</v>
      </c>
    </row>
    <row r="17" spans="1:8" x14ac:dyDescent="0.25">
      <c r="A17">
        <v>150</v>
      </c>
      <c r="B17">
        <v>1294</v>
      </c>
      <c r="C17">
        <v>2</v>
      </c>
      <c r="D17" t="s">
        <v>34</v>
      </c>
      <c r="E17">
        <v>3</v>
      </c>
      <c r="F17">
        <v>150</v>
      </c>
      <c r="G17" t="s">
        <v>148</v>
      </c>
      <c r="H17">
        <v>23.2</v>
      </c>
    </row>
    <row r="18" spans="1:8" x14ac:dyDescent="0.25">
      <c r="A18">
        <v>150</v>
      </c>
      <c r="B18">
        <v>1828</v>
      </c>
      <c r="C18">
        <v>3</v>
      </c>
      <c r="D18" t="s">
        <v>34</v>
      </c>
      <c r="E18">
        <v>3</v>
      </c>
      <c r="F18">
        <v>150</v>
      </c>
      <c r="G18" t="s">
        <v>149</v>
      </c>
      <c r="H18">
        <v>23.7</v>
      </c>
    </row>
    <row r="19" spans="1:8" x14ac:dyDescent="0.25">
      <c r="A19">
        <v>150</v>
      </c>
      <c r="B19">
        <v>2277</v>
      </c>
      <c r="C19">
        <v>4</v>
      </c>
      <c r="D19" t="s">
        <v>34</v>
      </c>
      <c r="E19">
        <v>3</v>
      </c>
      <c r="F19">
        <v>150</v>
      </c>
      <c r="G19" t="s">
        <v>150</v>
      </c>
      <c r="H19">
        <v>23.8</v>
      </c>
    </row>
    <row r="20" spans="1:8" x14ac:dyDescent="0.25">
      <c r="A20">
        <v>150</v>
      </c>
      <c r="B20">
        <v>2746</v>
      </c>
      <c r="C20">
        <v>5</v>
      </c>
      <c r="D20" t="s">
        <v>34</v>
      </c>
      <c r="E20">
        <v>3</v>
      </c>
      <c r="F20">
        <v>150</v>
      </c>
      <c r="G20" t="s">
        <v>150</v>
      </c>
      <c r="H20">
        <v>24.6</v>
      </c>
    </row>
    <row r="21" spans="1:8" x14ac:dyDescent="0.25">
      <c r="A21">
        <v>150</v>
      </c>
      <c r="B21">
        <v>3276</v>
      </c>
      <c r="C21">
        <v>6</v>
      </c>
      <c r="D21" t="s">
        <v>34</v>
      </c>
      <c r="E21">
        <v>3</v>
      </c>
      <c r="F21">
        <v>150</v>
      </c>
      <c r="G21" t="s">
        <v>149</v>
      </c>
      <c r="H21">
        <v>24.4</v>
      </c>
    </row>
    <row r="22" spans="1:8" x14ac:dyDescent="0.25">
      <c r="A22">
        <v>150</v>
      </c>
      <c r="B22">
        <v>3848</v>
      </c>
      <c r="C22">
        <v>7</v>
      </c>
      <c r="D22" t="s">
        <v>34</v>
      </c>
      <c r="E22">
        <v>3</v>
      </c>
      <c r="F22">
        <v>150</v>
      </c>
      <c r="G22" t="s">
        <v>149</v>
      </c>
      <c r="H22">
        <v>24.9</v>
      </c>
    </row>
    <row r="23" spans="1:8" x14ac:dyDescent="0.25">
      <c r="A23">
        <v>150</v>
      </c>
      <c r="B23">
        <v>4418</v>
      </c>
      <c r="C23">
        <v>8</v>
      </c>
      <c r="D23" t="s">
        <v>34</v>
      </c>
      <c r="E23">
        <v>3</v>
      </c>
      <c r="F23">
        <v>150</v>
      </c>
      <c r="G23" t="s">
        <v>150</v>
      </c>
      <c r="H23">
        <v>24</v>
      </c>
    </row>
    <row r="24" spans="1:8" x14ac:dyDescent="0.25">
      <c r="A24">
        <v>150</v>
      </c>
      <c r="B24">
        <v>864</v>
      </c>
      <c r="C24">
        <v>1</v>
      </c>
      <c r="D24" t="s">
        <v>35</v>
      </c>
      <c r="E24">
        <v>3</v>
      </c>
      <c r="F24">
        <v>175</v>
      </c>
      <c r="G24" t="s">
        <v>151</v>
      </c>
      <c r="H24">
        <v>26</v>
      </c>
    </row>
    <row r="25" spans="1:8" x14ac:dyDescent="0.25">
      <c r="A25">
        <v>150</v>
      </c>
      <c r="B25">
        <v>1572</v>
      </c>
      <c r="C25">
        <v>2</v>
      </c>
      <c r="D25" t="s">
        <v>35</v>
      </c>
      <c r="E25">
        <v>3</v>
      </c>
      <c r="F25">
        <v>175</v>
      </c>
      <c r="G25" t="s">
        <v>152</v>
      </c>
      <c r="H25">
        <v>27.2</v>
      </c>
    </row>
    <row r="26" spans="1:8" x14ac:dyDescent="0.25">
      <c r="A26">
        <v>150</v>
      </c>
      <c r="B26">
        <v>2226</v>
      </c>
      <c r="C26">
        <v>3</v>
      </c>
      <c r="D26" t="s">
        <v>35</v>
      </c>
      <c r="E26">
        <v>3</v>
      </c>
      <c r="F26">
        <v>175</v>
      </c>
      <c r="G26" t="s">
        <v>153</v>
      </c>
      <c r="H26">
        <v>27.3</v>
      </c>
    </row>
    <row r="27" spans="1:8" x14ac:dyDescent="0.25">
      <c r="A27">
        <v>150</v>
      </c>
      <c r="B27">
        <v>2815</v>
      </c>
      <c r="C27">
        <v>4</v>
      </c>
      <c r="D27" t="s">
        <v>35</v>
      </c>
      <c r="E27">
        <v>3</v>
      </c>
      <c r="F27">
        <v>175</v>
      </c>
      <c r="G27" t="s">
        <v>153</v>
      </c>
      <c r="H27">
        <v>26.9</v>
      </c>
    </row>
    <row r="28" spans="1:8" x14ac:dyDescent="0.25">
      <c r="A28">
        <v>150</v>
      </c>
      <c r="B28">
        <v>3407</v>
      </c>
      <c r="C28">
        <v>5</v>
      </c>
      <c r="D28" t="s">
        <v>35</v>
      </c>
      <c r="E28">
        <v>3</v>
      </c>
      <c r="F28">
        <v>175</v>
      </c>
      <c r="G28" t="s">
        <v>152</v>
      </c>
      <c r="H28">
        <v>27.3</v>
      </c>
    </row>
    <row r="29" spans="1:8" x14ac:dyDescent="0.25">
      <c r="A29">
        <v>150</v>
      </c>
      <c r="B29">
        <v>4066</v>
      </c>
      <c r="C29">
        <v>6</v>
      </c>
      <c r="D29" t="s">
        <v>35</v>
      </c>
      <c r="E29">
        <v>3</v>
      </c>
      <c r="F29">
        <v>175</v>
      </c>
      <c r="G29" t="s">
        <v>153</v>
      </c>
      <c r="H29">
        <v>26.8</v>
      </c>
    </row>
    <row r="30" spans="1:8" x14ac:dyDescent="0.25">
      <c r="A30">
        <v>150</v>
      </c>
      <c r="B30">
        <v>4756</v>
      </c>
      <c r="C30">
        <v>7</v>
      </c>
      <c r="D30" t="s">
        <v>35</v>
      </c>
      <c r="E30">
        <v>3</v>
      </c>
      <c r="F30">
        <v>175</v>
      </c>
      <c r="G30" t="s">
        <v>152</v>
      </c>
      <c r="H30">
        <v>26.8</v>
      </c>
    </row>
    <row r="31" spans="1:8" x14ac:dyDescent="0.25">
      <c r="A31">
        <v>150</v>
      </c>
      <c r="B31">
        <v>5458</v>
      </c>
      <c r="C31">
        <v>8</v>
      </c>
      <c r="D31" t="s">
        <v>35</v>
      </c>
      <c r="E31">
        <v>3</v>
      </c>
      <c r="F31">
        <v>175</v>
      </c>
      <c r="G31" t="s">
        <v>153</v>
      </c>
      <c r="H31">
        <v>26.7</v>
      </c>
    </row>
    <row r="32" spans="1:8" x14ac:dyDescent="0.25">
      <c r="A32">
        <v>150</v>
      </c>
      <c r="B32">
        <v>999</v>
      </c>
      <c r="C32">
        <v>1</v>
      </c>
      <c r="D32" t="s">
        <v>36</v>
      </c>
      <c r="E32">
        <v>3</v>
      </c>
      <c r="F32">
        <v>310</v>
      </c>
      <c r="G32" t="s">
        <v>154</v>
      </c>
      <c r="H32">
        <v>29.1</v>
      </c>
    </row>
    <row r="33" spans="1:8" x14ac:dyDescent="0.25">
      <c r="A33">
        <v>150</v>
      </c>
      <c r="B33">
        <v>1863</v>
      </c>
      <c r="C33">
        <v>2</v>
      </c>
      <c r="D33" t="s">
        <v>36</v>
      </c>
      <c r="E33">
        <v>3</v>
      </c>
      <c r="F33">
        <v>310</v>
      </c>
      <c r="G33" t="s">
        <v>155</v>
      </c>
      <c r="H33">
        <v>29.2</v>
      </c>
    </row>
    <row r="34" spans="1:8" x14ac:dyDescent="0.25">
      <c r="A34">
        <v>150</v>
      </c>
      <c r="B34">
        <v>2611</v>
      </c>
      <c r="C34">
        <v>3</v>
      </c>
      <c r="D34" t="s">
        <v>36</v>
      </c>
      <c r="E34">
        <v>3</v>
      </c>
      <c r="F34">
        <v>310</v>
      </c>
      <c r="G34" t="s">
        <v>155</v>
      </c>
      <c r="H34">
        <v>29.1</v>
      </c>
    </row>
    <row r="35" spans="1:8" x14ac:dyDescent="0.25">
      <c r="A35">
        <v>150</v>
      </c>
      <c r="B35">
        <v>3336</v>
      </c>
      <c r="C35">
        <v>4</v>
      </c>
      <c r="D35" t="s">
        <v>36</v>
      </c>
      <c r="E35">
        <v>3</v>
      </c>
      <c r="F35">
        <v>310</v>
      </c>
      <c r="G35" t="s">
        <v>154</v>
      </c>
      <c r="H35">
        <v>30.3</v>
      </c>
    </row>
    <row r="36" spans="1:8" x14ac:dyDescent="0.25">
      <c r="A36">
        <v>150</v>
      </c>
      <c r="B36">
        <v>4002</v>
      </c>
      <c r="C36">
        <v>5</v>
      </c>
      <c r="D36" t="s">
        <v>36</v>
      </c>
      <c r="E36">
        <v>3</v>
      </c>
      <c r="F36">
        <v>310</v>
      </c>
      <c r="G36" t="s">
        <v>154</v>
      </c>
      <c r="H36">
        <v>29.6</v>
      </c>
    </row>
    <row r="37" spans="1:8" x14ac:dyDescent="0.25">
      <c r="A37">
        <v>150</v>
      </c>
      <c r="B37">
        <v>4790</v>
      </c>
      <c r="C37">
        <v>6</v>
      </c>
      <c r="D37" t="s">
        <v>36</v>
      </c>
      <c r="E37">
        <v>3</v>
      </c>
      <c r="F37">
        <v>310</v>
      </c>
      <c r="G37" t="s">
        <v>155</v>
      </c>
      <c r="H37">
        <v>30</v>
      </c>
    </row>
    <row r="38" spans="1:8" x14ac:dyDescent="0.25">
      <c r="A38">
        <v>150</v>
      </c>
      <c r="B38">
        <v>5589</v>
      </c>
      <c r="C38">
        <v>7</v>
      </c>
      <c r="D38" t="s">
        <v>36</v>
      </c>
      <c r="E38">
        <v>3</v>
      </c>
      <c r="F38">
        <v>310</v>
      </c>
      <c r="G38" t="s">
        <v>155</v>
      </c>
      <c r="H38">
        <v>30.8</v>
      </c>
    </row>
    <row r="39" spans="1:8" x14ac:dyDescent="0.25">
      <c r="A39">
        <v>150</v>
      </c>
      <c r="B39">
        <v>6421</v>
      </c>
      <c r="C39">
        <v>8</v>
      </c>
      <c r="D39" t="s">
        <v>36</v>
      </c>
      <c r="E39">
        <v>3</v>
      </c>
      <c r="F39">
        <v>310</v>
      </c>
      <c r="G39" t="s">
        <v>155</v>
      </c>
      <c r="H39">
        <v>29.5</v>
      </c>
    </row>
    <row r="40" spans="1:8" x14ac:dyDescent="0.25">
      <c r="A40">
        <v>150</v>
      </c>
      <c r="B40">
        <v>1168</v>
      </c>
      <c r="C40">
        <v>1</v>
      </c>
      <c r="D40" t="s">
        <v>37</v>
      </c>
      <c r="E40">
        <v>3</v>
      </c>
      <c r="F40">
        <v>325</v>
      </c>
      <c r="G40" t="s">
        <v>156</v>
      </c>
      <c r="H40">
        <v>31.5</v>
      </c>
    </row>
    <row r="41" spans="1:8" x14ac:dyDescent="0.25">
      <c r="A41">
        <v>150</v>
      </c>
      <c r="B41">
        <v>2077</v>
      </c>
      <c r="C41">
        <v>2</v>
      </c>
      <c r="D41" t="s">
        <v>37</v>
      </c>
      <c r="E41">
        <v>3</v>
      </c>
      <c r="F41">
        <v>325</v>
      </c>
      <c r="G41" t="s">
        <v>157</v>
      </c>
      <c r="H41">
        <v>32.200000000000003</v>
      </c>
    </row>
    <row r="42" spans="1:8" x14ac:dyDescent="0.25">
      <c r="A42">
        <v>150</v>
      </c>
      <c r="B42">
        <v>3011</v>
      </c>
      <c r="C42">
        <v>3</v>
      </c>
      <c r="D42" t="s">
        <v>37</v>
      </c>
      <c r="E42">
        <v>3</v>
      </c>
      <c r="F42">
        <v>325</v>
      </c>
      <c r="G42" t="s">
        <v>158</v>
      </c>
      <c r="H42">
        <v>31.2</v>
      </c>
    </row>
    <row r="43" spans="1:8" x14ac:dyDescent="0.25">
      <c r="A43">
        <v>150</v>
      </c>
      <c r="B43">
        <v>3781</v>
      </c>
      <c r="C43">
        <v>4</v>
      </c>
      <c r="D43" t="s">
        <v>37</v>
      </c>
      <c r="E43">
        <v>3</v>
      </c>
      <c r="F43">
        <v>325</v>
      </c>
      <c r="G43" t="s">
        <v>157</v>
      </c>
      <c r="H43">
        <v>30.9</v>
      </c>
    </row>
    <row r="44" spans="1:8" x14ac:dyDescent="0.25">
      <c r="A44">
        <v>150</v>
      </c>
      <c r="B44">
        <v>4545</v>
      </c>
      <c r="C44">
        <v>5</v>
      </c>
      <c r="D44" t="s">
        <v>37</v>
      </c>
      <c r="E44">
        <v>3</v>
      </c>
      <c r="F44">
        <v>325</v>
      </c>
      <c r="G44" t="s">
        <v>156</v>
      </c>
      <c r="H44">
        <v>31.3</v>
      </c>
    </row>
    <row r="45" spans="1:8" x14ac:dyDescent="0.25">
      <c r="A45">
        <v>150</v>
      </c>
      <c r="B45">
        <v>5443</v>
      </c>
      <c r="C45">
        <v>6</v>
      </c>
      <c r="D45" t="s">
        <v>37</v>
      </c>
      <c r="E45">
        <v>3</v>
      </c>
      <c r="F45">
        <v>325</v>
      </c>
      <c r="G45" t="s">
        <v>156</v>
      </c>
      <c r="H45">
        <v>31</v>
      </c>
    </row>
    <row r="46" spans="1:8" x14ac:dyDescent="0.25">
      <c r="A46">
        <v>150</v>
      </c>
      <c r="B46">
        <v>6383</v>
      </c>
      <c r="C46">
        <v>7</v>
      </c>
      <c r="D46" t="s">
        <v>37</v>
      </c>
      <c r="E46">
        <v>3</v>
      </c>
      <c r="F46">
        <v>325</v>
      </c>
      <c r="G46" t="s">
        <v>158</v>
      </c>
      <c r="H46">
        <v>32.6</v>
      </c>
    </row>
    <row r="47" spans="1:8" x14ac:dyDescent="0.25">
      <c r="A47">
        <v>150</v>
      </c>
      <c r="B47">
        <v>7272</v>
      </c>
      <c r="C47">
        <v>8</v>
      </c>
      <c r="D47" t="s">
        <v>37</v>
      </c>
      <c r="E47">
        <v>3</v>
      </c>
      <c r="F47">
        <v>325</v>
      </c>
      <c r="G47" t="s">
        <v>156</v>
      </c>
      <c r="H47">
        <v>32.299999999999997</v>
      </c>
    </row>
    <row r="48" spans="1:8" x14ac:dyDescent="0.25">
      <c r="A48">
        <v>200</v>
      </c>
      <c r="B48">
        <v>118</v>
      </c>
      <c r="C48" t="s">
        <v>38</v>
      </c>
      <c r="D48" t="s">
        <v>33</v>
      </c>
      <c r="E48">
        <v>5</v>
      </c>
      <c r="F48">
        <v>150</v>
      </c>
      <c r="G48" t="s">
        <v>159</v>
      </c>
      <c r="H48">
        <v>17.7</v>
      </c>
    </row>
    <row r="49" spans="1:8" x14ac:dyDescent="0.25">
      <c r="A49">
        <v>200</v>
      </c>
      <c r="B49">
        <v>219</v>
      </c>
      <c r="C49">
        <v>1</v>
      </c>
      <c r="D49" t="s">
        <v>40</v>
      </c>
      <c r="E49">
        <v>5</v>
      </c>
      <c r="F49">
        <v>150</v>
      </c>
      <c r="G49" t="s">
        <v>160</v>
      </c>
      <c r="H49">
        <v>20.2</v>
      </c>
    </row>
    <row r="50" spans="1:8" x14ac:dyDescent="0.25">
      <c r="A50">
        <v>200</v>
      </c>
      <c r="B50">
        <v>428</v>
      </c>
      <c r="C50">
        <v>1</v>
      </c>
      <c r="D50" t="s">
        <v>39</v>
      </c>
      <c r="E50">
        <v>5</v>
      </c>
      <c r="F50">
        <v>150</v>
      </c>
      <c r="G50" t="s">
        <v>161</v>
      </c>
      <c r="H50">
        <v>24</v>
      </c>
    </row>
    <row r="51" spans="1:8" x14ac:dyDescent="0.25">
      <c r="A51">
        <v>200</v>
      </c>
      <c r="B51">
        <v>624</v>
      </c>
      <c r="C51">
        <v>1</v>
      </c>
      <c r="D51" t="s">
        <v>34</v>
      </c>
      <c r="E51">
        <v>5</v>
      </c>
      <c r="F51">
        <v>200</v>
      </c>
      <c r="G51" t="s">
        <v>162</v>
      </c>
      <c r="H51">
        <v>27.5</v>
      </c>
    </row>
    <row r="52" spans="1:8" x14ac:dyDescent="0.25">
      <c r="A52">
        <v>200</v>
      </c>
      <c r="B52">
        <v>823</v>
      </c>
      <c r="C52">
        <v>2</v>
      </c>
      <c r="D52" t="s">
        <v>39</v>
      </c>
      <c r="E52">
        <v>5</v>
      </c>
      <c r="F52">
        <v>150</v>
      </c>
      <c r="G52" t="s">
        <v>163</v>
      </c>
      <c r="H52">
        <v>24.2</v>
      </c>
    </row>
    <row r="53" spans="1:8" x14ac:dyDescent="0.25">
      <c r="A53">
        <v>200</v>
      </c>
      <c r="B53">
        <v>1090</v>
      </c>
      <c r="C53">
        <v>2</v>
      </c>
      <c r="D53" t="s">
        <v>34</v>
      </c>
      <c r="E53">
        <v>5</v>
      </c>
      <c r="F53">
        <v>200</v>
      </c>
      <c r="G53" t="s">
        <v>164</v>
      </c>
      <c r="H53">
        <v>28.2</v>
      </c>
    </row>
    <row r="54" spans="1:8" x14ac:dyDescent="0.25">
      <c r="A54">
        <v>200</v>
      </c>
      <c r="B54">
        <v>1536</v>
      </c>
      <c r="C54">
        <v>3</v>
      </c>
      <c r="D54" t="s">
        <v>34</v>
      </c>
      <c r="E54">
        <v>5</v>
      </c>
      <c r="F54">
        <v>200</v>
      </c>
      <c r="G54" t="s">
        <v>164</v>
      </c>
      <c r="H54">
        <v>28.7</v>
      </c>
    </row>
    <row r="55" spans="1:8" x14ac:dyDescent="0.25">
      <c r="A55">
        <v>200</v>
      </c>
      <c r="B55">
        <v>1969</v>
      </c>
      <c r="C55">
        <v>4</v>
      </c>
      <c r="D55" t="s">
        <v>34</v>
      </c>
      <c r="E55">
        <v>5</v>
      </c>
      <c r="F55">
        <v>200</v>
      </c>
      <c r="G55" t="s">
        <v>164</v>
      </c>
      <c r="H55">
        <v>28.9</v>
      </c>
    </row>
    <row r="56" spans="1:8" x14ac:dyDescent="0.25">
      <c r="A56">
        <v>200</v>
      </c>
      <c r="B56">
        <v>2372</v>
      </c>
      <c r="C56">
        <v>5</v>
      </c>
      <c r="D56" t="s">
        <v>34</v>
      </c>
      <c r="E56">
        <v>5</v>
      </c>
      <c r="F56">
        <v>200</v>
      </c>
      <c r="G56" t="s">
        <v>164</v>
      </c>
      <c r="H56">
        <v>27.7</v>
      </c>
    </row>
    <row r="57" spans="1:8" x14ac:dyDescent="0.25">
      <c r="A57">
        <v>200</v>
      </c>
      <c r="B57">
        <v>2896</v>
      </c>
      <c r="C57">
        <v>6</v>
      </c>
      <c r="D57" t="s">
        <v>34</v>
      </c>
      <c r="E57">
        <v>5</v>
      </c>
      <c r="F57">
        <v>200</v>
      </c>
      <c r="G57" t="s">
        <v>165</v>
      </c>
      <c r="H57">
        <v>27.3</v>
      </c>
    </row>
    <row r="58" spans="1:8" x14ac:dyDescent="0.25">
      <c r="A58">
        <v>200</v>
      </c>
      <c r="B58">
        <v>3431</v>
      </c>
      <c r="C58">
        <v>7</v>
      </c>
      <c r="D58" t="s">
        <v>34</v>
      </c>
      <c r="E58">
        <v>5</v>
      </c>
      <c r="F58">
        <v>200</v>
      </c>
      <c r="G58" t="s">
        <v>162</v>
      </c>
      <c r="H58">
        <v>27.6</v>
      </c>
    </row>
    <row r="59" spans="1:8" x14ac:dyDescent="0.25">
      <c r="A59">
        <v>200</v>
      </c>
      <c r="B59">
        <v>3918</v>
      </c>
      <c r="C59">
        <v>8</v>
      </c>
      <c r="D59" t="s">
        <v>34</v>
      </c>
      <c r="E59">
        <v>5</v>
      </c>
      <c r="F59">
        <v>200</v>
      </c>
      <c r="G59" t="s">
        <v>162</v>
      </c>
      <c r="H59">
        <v>28</v>
      </c>
    </row>
    <row r="60" spans="1:8" x14ac:dyDescent="0.25">
      <c r="A60">
        <v>200</v>
      </c>
      <c r="B60">
        <v>697</v>
      </c>
      <c r="C60">
        <v>1</v>
      </c>
      <c r="D60" t="s">
        <v>35</v>
      </c>
      <c r="E60">
        <v>6</v>
      </c>
      <c r="F60">
        <v>250</v>
      </c>
      <c r="G60" t="s">
        <v>166</v>
      </c>
      <c r="H60">
        <v>32.9</v>
      </c>
    </row>
    <row r="61" spans="1:8" x14ac:dyDescent="0.25">
      <c r="A61">
        <v>200</v>
      </c>
      <c r="B61">
        <v>1321</v>
      </c>
      <c r="C61">
        <v>2</v>
      </c>
      <c r="D61" t="s">
        <v>35</v>
      </c>
      <c r="E61">
        <v>6</v>
      </c>
      <c r="F61">
        <v>250</v>
      </c>
      <c r="G61" t="s">
        <v>166</v>
      </c>
      <c r="H61">
        <v>33</v>
      </c>
    </row>
    <row r="62" spans="1:8" x14ac:dyDescent="0.25">
      <c r="A62">
        <v>200</v>
      </c>
      <c r="B62">
        <v>1874</v>
      </c>
      <c r="C62">
        <v>3</v>
      </c>
      <c r="D62" t="s">
        <v>35</v>
      </c>
      <c r="E62">
        <v>6</v>
      </c>
      <c r="F62">
        <v>250</v>
      </c>
      <c r="G62" t="s">
        <v>167</v>
      </c>
      <c r="H62">
        <v>31.3</v>
      </c>
    </row>
    <row r="63" spans="1:8" x14ac:dyDescent="0.25">
      <c r="A63">
        <v>200</v>
      </c>
      <c r="B63">
        <v>2333</v>
      </c>
      <c r="C63">
        <v>4</v>
      </c>
      <c r="D63" t="s">
        <v>35</v>
      </c>
      <c r="E63">
        <v>6</v>
      </c>
      <c r="F63">
        <v>250</v>
      </c>
      <c r="G63" t="s">
        <v>166</v>
      </c>
      <c r="H63">
        <v>32.299999999999997</v>
      </c>
    </row>
    <row r="64" spans="1:8" x14ac:dyDescent="0.25">
      <c r="A64">
        <v>200</v>
      </c>
      <c r="B64">
        <v>2816</v>
      </c>
      <c r="C64">
        <v>5</v>
      </c>
      <c r="D64" t="s">
        <v>35</v>
      </c>
      <c r="E64">
        <v>6</v>
      </c>
      <c r="F64">
        <v>250</v>
      </c>
      <c r="G64" t="s">
        <v>168</v>
      </c>
      <c r="H64">
        <v>32.1</v>
      </c>
    </row>
    <row r="65" spans="1:8" x14ac:dyDescent="0.25">
      <c r="A65">
        <v>200</v>
      </c>
      <c r="B65">
        <v>3400</v>
      </c>
      <c r="C65">
        <v>6</v>
      </c>
      <c r="D65" t="s">
        <v>35</v>
      </c>
      <c r="E65">
        <v>6</v>
      </c>
      <c r="F65">
        <v>250</v>
      </c>
      <c r="G65" t="s">
        <v>168</v>
      </c>
      <c r="H65">
        <v>31.7</v>
      </c>
    </row>
    <row r="66" spans="1:8" x14ac:dyDescent="0.25">
      <c r="A66">
        <v>200</v>
      </c>
      <c r="B66">
        <v>974</v>
      </c>
      <c r="C66">
        <v>1</v>
      </c>
      <c r="D66" t="s">
        <v>37</v>
      </c>
      <c r="E66">
        <v>5</v>
      </c>
      <c r="F66">
        <v>360</v>
      </c>
      <c r="G66" t="s">
        <v>169</v>
      </c>
      <c r="H66">
        <v>34.9</v>
      </c>
    </row>
    <row r="67" spans="1:8" x14ac:dyDescent="0.25">
      <c r="A67">
        <v>200</v>
      </c>
      <c r="B67">
        <v>1744</v>
      </c>
      <c r="C67">
        <v>2</v>
      </c>
      <c r="D67" t="s">
        <v>37</v>
      </c>
      <c r="E67">
        <v>5</v>
      </c>
      <c r="F67">
        <v>360</v>
      </c>
      <c r="G67" t="s">
        <v>169</v>
      </c>
      <c r="H67">
        <v>35.4</v>
      </c>
    </row>
    <row r="68" spans="1:8" x14ac:dyDescent="0.25">
      <c r="A68">
        <v>200</v>
      </c>
      <c r="B68">
        <v>2443</v>
      </c>
      <c r="C68">
        <v>3</v>
      </c>
      <c r="D68" t="s">
        <v>37</v>
      </c>
      <c r="E68">
        <v>5</v>
      </c>
      <c r="F68">
        <v>360</v>
      </c>
      <c r="G68" t="s">
        <v>170</v>
      </c>
      <c r="H68">
        <v>36.6</v>
      </c>
    </row>
    <row r="69" spans="1:8" x14ac:dyDescent="0.25">
      <c r="A69">
        <v>200</v>
      </c>
      <c r="B69">
        <v>3101</v>
      </c>
      <c r="C69">
        <v>4</v>
      </c>
      <c r="D69" t="s">
        <v>37</v>
      </c>
      <c r="E69">
        <v>5</v>
      </c>
      <c r="F69">
        <v>360</v>
      </c>
      <c r="G69" t="s">
        <v>170</v>
      </c>
      <c r="H69">
        <v>35.299999999999997</v>
      </c>
    </row>
    <row r="70" spans="1:8" x14ac:dyDescent="0.25">
      <c r="A70">
        <v>200</v>
      </c>
      <c r="B70">
        <v>3730</v>
      </c>
      <c r="C70">
        <v>5</v>
      </c>
      <c r="D70" t="s">
        <v>37</v>
      </c>
      <c r="E70">
        <v>5</v>
      </c>
      <c r="F70">
        <v>360</v>
      </c>
      <c r="G70" t="s">
        <v>171</v>
      </c>
      <c r="H70">
        <v>35.700000000000003</v>
      </c>
    </row>
    <row r="71" spans="1:8" x14ac:dyDescent="0.25">
      <c r="A71">
        <v>200</v>
      </c>
      <c r="B71">
        <v>4516</v>
      </c>
      <c r="C71">
        <v>6</v>
      </c>
      <c r="D71" t="s">
        <v>37</v>
      </c>
      <c r="E71">
        <v>5</v>
      </c>
      <c r="F71">
        <v>360</v>
      </c>
      <c r="G71" t="s">
        <v>170</v>
      </c>
      <c r="H71">
        <v>36.1</v>
      </c>
    </row>
    <row r="72" spans="1:8" x14ac:dyDescent="0.25">
      <c r="A72">
        <v>350</v>
      </c>
      <c r="B72">
        <v>178</v>
      </c>
      <c r="C72">
        <v>1</v>
      </c>
      <c r="D72" t="s">
        <v>40</v>
      </c>
      <c r="E72">
        <v>7</v>
      </c>
      <c r="F72">
        <v>200</v>
      </c>
      <c r="G72" t="s">
        <v>172</v>
      </c>
      <c r="H72">
        <v>23.2</v>
      </c>
    </row>
    <row r="73" spans="1:8" x14ac:dyDescent="0.25">
      <c r="A73">
        <v>350</v>
      </c>
      <c r="B73">
        <v>403</v>
      </c>
      <c r="C73">
        <v>1</v>
      </c>
      <c r="D73" t="s">
        <v>39</v>
      </c>
      <c r="E73">
        <v>7</v>
      </c>
      <c r="F73">
        <v>200</v>
      </c>
      <c r="G73" t="s">
        <v>173</v>
      </c>
      <c r="H73">
        <v>28.3</v>
      </c>
    </row>
    <row r="74" spans="1:8" x14ac:dyDescent="0.25">
      <c r="A74">
        <v>350</v>
      </c>
      <c r="B74">
        <v>592</v>
      </c>
      <c r="C74">
        <v>1</v>
      </c>
      <c r="D74" t="s">
        <v>34</v>
      </c>
      <c r="E74">
        <v>5</v>
      </c>
      <c r="F74">
        <v>200</v>
      </c>
      <c r="G74" t="s">
        <v>164</v>
      </c>
      <c r="H74">
        <v>29</v>
      </c>
    </row>
    <row r="75" spans="1:8" x14ac:dyDescent="0.25">
      <c r="A75">
        <v>350</v>
      </c>
      <c r="B75">
        <v>1090</v>
      </c>
      <c r="C75">
        <v>2</v>
      </c>
      <c r="D75" t="s">
        <v>34</v>
      </c>
      <c r="E75">
        <v>5</v>
      </c>
      <c r="F75">
        <v>200</v>
      </c>
      <c r="G75" t="s">
        <v>164</v>
      </c>
      <c r="H75">
        <v>27.6</v>
      </c>
    </row>
    <row r="76" spans="1:8" x14ac:dyDescent="0.25">
      <c r="A76">
        <v>350</v>
      </c>
      <c r="B76">
        <v>1578</v>
      </c>
      <c r="C76">
        <v>3</v>
      </c>
      <c r="D76" t="s">
        <v>34</v>
      </c>
      <c r="E76">
        <v>5</v>
      </c>
      <c r="F76">
        <v>200</v>
      </c>
      <c r="G76" t="s">
        <v>164</v>
      </c>
      <c r="H76">
        <v>28.1</v>
      </c>
    </row>
    <row r="77" spans="1:8" x14ac:dyDescent="0.25">
      <c r="A77">
        <v>350</v>
      </c>
      <c r="B77">
        <v>1983</v>
      </c>
      <c r="C77">
        <v>4</v>
      </c>
      <c r="D77" t="s">
        <v>34</v>
      </c>
      <c r="E77">
        <v>5</v>
      </c>
      <c r="F77">
        <v>200</v>
      </c>
      <c r="G77" t="s">
        <v>162</v>
      </c>
      <c r="H77">
        <v>27.7</v>
      </c>
    </row>
    <row r="78" spans="1:8" x14ac:dyDescent="0.25">
      <c r="A78">
        <v>350</v>
      </c>
      <c r="B78">
        <v>2354</v>
      </c>
      <c r="C78">
        <v>5</v>
      </c>
      <c r="D78" t="s">
        <v>34</v>
      </c>
      <c r="E78">
        <v>5</v>
      </c>
      <c r="F78">
        <v>200</v>
      </c>
      <c r="G78" t="s">
        <v>165</v>
      </c>
      <c r="H78">
        <v>27.7</v>
      </c>
    </row>
    <row r="79" spans="1:8" x14ac:dyDescent="0.25">
      <c r="A79">
        <v>350</v>
      </c>
      <c r="B79">
        <v>2885</v>
      </c>
      <c r="C79">
        <v>6</v>
      </c>
      <c r="D79" t="s">
        <v>34</v>
      </c>
      <c r="E79">
        <v>5</v>
      </c>
      <c r="F79">
        <v>200</v>
      </c>
      <c r="G79" t="s">
        <v>164</v>
      </c>
      <c r="H79">
        <v>27.2</v>
      </c>
    </row>
    <row r="80" spans="1:8" x14ac:dyDescent="0.25">
      <c r="A80">
        <v>350</v>
      </c>
      <c r="B80">
        <v>3438</v>
      </c>
      <c r="C80">
        <v>7</v>
      </c>
      <c r="D80" t="s">
        <v>34</v>
      </c>
      <c r="E80">
        <v>5</v>
      </c>
      <c r="F80">
        <v>200</v>
      </c>
      <c r="G80" t="s">
        <v>165</v>
      </c>
      <c r="H80">
        <v>28.3</v>
      </c>
    </row>
    <row r="81" spans="1:8" x14ac:dyDescent="0.25">
      <c r="A81">
        <v>350</v>
      </c>
      <c r="B81">
        <v>3905</v>
      </c>
      <c r="C81">
        <v>8</v>
      </c>
      <c r="D81" t="s">
        <v>34</v>
      </c>
      <c r="E81">
        <v>5</v>
      </c>
      <c r="F81">
        <v>200</v>
      </c>
      <c r="G81" t="s">
        <v>165</v>
      </c>
      <c r="H81">
        <v>28.1</v>
      </c>
    </row>
    <row r="82" spans="1:8" x14ac:dyDescent="0.25">
      <c r="A82">
        <v>350</v>
      </c>
      <c r="B82">
        <v>737</v>
      </c>
      <c r="C82">
        <v>1</v>
      </c>
      <c r="D82" t="s">
        <v>35</v>
      </c>
      <c r="E82">
        <v>6</v>
      </c>
      <c r="F82">
        <v>250</v>
      </c>
      <c r="G82" t="s">
        <v>167</v>
      </c>
      <c r="H82">
        <v>31.4</v>
      </c>
    </row>
    <row r="83" spans="1:8" x14ac:dyDescent="0.25">
      <c r="A83">
        <v>350</v>
      </c>
      <c r="B83">
        <v>1289</v>
      </c>
      <c r="C83">
        <v>2</v>
      </c>
      <c r="D83" t="s">
        <v>35</v>
      </c>
      <c r="E83">
        <v>6</v>
      </c>
      <c r="F83">
        <v>250</v>
      </c>
      <c r="G83" t="s">
        <v>166</v>
      </c>
      <c r="H83">
        <v>31.9</v>
      </c>
    </row>
    <row r="84" spans="1:8" x14ac:dyDescent="0.25">
      <c r="A84">
        <v>350</v>
      </c>
      <c r="B84">
        <v>1847</v>
      </c>
      <c r="C84">
        <v>3</v>
      </c>
      <c r="D84" t="s">
        <v>35</v>
      </c>
      <c r="E84">
        <v>6</v>
      </c>
      <c r="F84">
        <v>250</v>
      </c>
      <c r="G84" t="s">
        <v>167</v>
      </c>
      <c r="H84">
        <v>33.1</v>
      </c>
    </row>
    <row r="85" spans="1:8" x14ac:dyDescent="0.25">
      <c r="A85">
        <v>350</v>
      </c>
      <c r="B85">
        <v>2333</v>
      </c>
      <c r="C85">
        <v>4</v>
      </c>
      <c r="D85" t="s">
        <v>35</v>
      </c>
      <c r="E85">
        <v>6</v>
      </c>
      <c r="F85">
        <v>250</v>
      </c>
      <c r="G85" t="s">
        <v>166</v>
      </c>
      <c r="H85">
        <v>31.8</v>
      </c>
    </row>
    <row r="86" spans="1:8" x14ac:dyDescent="0.25">
      <c r="A86">
        <v>350</v>
      </c>
      <c r="B86">
        <v>2822</v>
      </c>
      <c r="C86">
        <v>5</v>
      </c>
      <c r="D86" t="s">
        <v>35</v>
      </c>
      <c r="E86">
        <v>6</v>
      </c>
      <c r="F86">
        <v>250</v>
      </c>
      <c r="G86" t="s">
        <v>168</v>
      </c>
      <c r="H86">
        <v>31.6</v>
      </c>
    </row>
    <row r="87" spans="1:8" x14ac:dyDescent="0.25">
      <c r="A87">
        <v>350</v>
      </c>
      <c r="B87">
        <v>3404</v>
      </c>
      <c r="C87">
        <v>6</v>
      </c>
      <c r="D87" t="s">
        <v>35</v>
      </c>
      <c r="E87">
        <v>6</v>
      </c>
      <c r="F87">
        <v>250</v>
      </c>
      <c r="G87" t="s">
        <v>166</v>
      </c>
      <c r="H87">
        <v>32.299999999999997</v>
      </c>
    </row>
    <row r="88" spans="1:8" x14ac:dyDescent="0.25">
      <c r="A88">
        <v>350</v>
      </c>
      <c r="B88">
        <v>945</v>
      </c>
      <c r="C88">
        <v>1</v>
      </c>
      <c r="D88" t="s">
        <v>37</v>
      </c>
      <c r="E88">
        <v>5</v>
      </c>
      <c r="F88">
        <v>360</v>
      </c>
      <c r="G88" t="s">
        <v>169</v>
      </c>
      <c r="H88">
        <v>36.700000000000003</v>
      </c>
    </row>
    <row r="89" spans="1:8" x14ac:dyDescent="0.25">
      <c r="A89">
        <v>350</v>
      </c>
      <c r="B89">
        <v>1720</v>
      </c>
      <c r="C89">
        <v>2</v>
      </c>
      <c r="D89" t="s">
        <v>37</v>
      </c>
      <c r="E89">
        <v>5</v>
      </c>
      <c r="F89">
        <v>360</v>
      </c>
      <c r="G89" t="s">
        <v>169</v>
      </c>
      <c r="H89">
        <v>35.200000000000003</v>
      </c>
    </row>
    <row r="90" spans="1:8" x14ac:dyDescent="0.25">
      <c r="A90">
        <v>350</v>
      </c>
      <c r="B90">
        <v>2484</v>
      </c>
      <c r="C90">
        <v>3</v>
      </c>
      <c r="D90" t="s">
        <v>37</v>
      </c>
      <c r="E90">
        <v>5</v>
      </c>
      <c r="F90">
        <v>360</v>
      </c>
      <c r="G90" t="s">
        <v>170</v>
      </c>
      <c r="H90">
        <v>36</v>
      </c>
    </row>
    <row r="91" spans="1:8" x14ac:dyDescent="0.25">
      <c r="A91">
        <v>350</v>
      </c>
      <c r="B91">
        <v>3117</v>
      </c>
      <c r="C91">
        <v>4</v>
      </c>
      <c r="D91" t="s">
        <v>37</v>
      </c>
      <c r="E91">
        <v>5</v>
      </c>
      <c r="F91">
        <v>360</v>
      </c>
      <c r="G91" t="s">
        <v>170</v>
      </c>
      <c r="H91">
        <v>36.200000000000003</v>
      </c>
    </row>
    <row r="92" spans="1:8" x14ac:dyDescent="0.25">
      <c r="A92">
        <v>350</v>
      </c>
      <c r="B92">
        <v>3771</v>
      </c>
      <c r="C92">
        <v>5</v>
      </c>
      <c r="D92" t="s">
        <v>37</v>
      </c>
      <c r="E92">
        <v>5</v>
      </c>
      <c r="F92">
        <v>360</v>
      </c>
      <c r="G92" t="s">
        <v>169</v>
      </c>
      <c r="H92">
        <v>35.200000000000003</v>
      </c>
    </row>
    <row r="93" spans="1:8" x14ac:dyDescent="0.25">
      <c r="A93">
        <v>350</v>
      </c>
      <c r="B93">
        <v>4498</v>
      </c>
      <c r="C93">
        <v>6</v>
      </c>
      <c r="D93" t="s">
        <v>37</v>
      </c>
      <c r="E93">
        <v>5</v>
      </c>
      <c r="F93">
        <v>360</v>
      </c>
      <c r="G93" t="s">
        <v>169</v>
      </c>
      <c r="H93">
        <v>36.200000000000003</v>
      </c>
    </row>
    <row r="94" spans="1:8" x14ac:dyDescent="0.25">
      <c r="A94">
        <v>650</v>
      </c>
      <c r="B94">
        <v>400</v>
      </c>
      <c r="C94">
        <v>1</v>
      </c>
      <c r="D94" t="s">
        <v>39</v>
      </c>
      <c r="E94">
        <v>7</v>
      </c>
      <c r="F94">
        <v>200</v>
      </c>
      <c r="G94" t="s">
        <v>173</v>
      </c>
      <c r="H94">
        <v>27.1</v>
      </c>
    </row>
    <row r="95" spans="1:8" x14ac:dyDescent="0.25">
      <c r="A95">
        <v>650</v>
      </c>
      <c r="B95">
        <v>509</v>
      </c>
      <c r="C95">
        <v>1</v>
      </c>
      <c r="D95" t="s">
        <v>34</v>
      </c>
      <c r="E95">
        <v>8</v>
      </c>
      <c r="F95">
        <v>300</v>
      </c>
      <c r="G95" t="s">
        <v>174</v>
      </c>
      <c r="H95">
        <v>34.4</v>
      </c>
    </row>
    <row r="96" spans="1:8" x14ac:dyDescent="0.25">
      <c r="A96">
        <v>650</v>
      </c>
      <c r="B96">
        <v>949</v>
      </c>
      <c r="C96">
        <v>2</v>
      </c>
      <c r="D96" t="s">
        <v>34</v>
      </c>
      <c r="E96">
        <v>8</v>
      </c>
      <c r="F96">
        <v>300</v>
      </c>
      <c r="G96" t="s">
        <v>175</v>
      </c>
      <c r="H96">
        <v>34.4</v>
      </c>
    </row>
    <row r="97" spans="1:8" x14ac:dyDescent="0.25">
      <c r="A97">
        <v>1050</v>
      </c>
      <c r="B97">
        <v>525</v>
      </c>
      <c r="C97">
        <v>1</v>
      </c>
      <c r="D97" t="s">
        <v>34</v>
      </c>
      <c r="E97">
        <v>8</v>
      </c>
      <c r="F97">
        <v>300</v>
      </c>
      <c r="G97" t="s">
        <v>174</v>
      </c>
      <c r="H97">
        <v>34.200000000000003</v>
      </c>
    </row>
    <row r="98" spans="1:8" x14ac:dyDescent="0.25">
      <c r="A98">
        <v>1050</v>
      </c>
      <c r="B98">
        <v>933</v>
      </c>
      <c r="C98">
        <v>2</v>
      </c>
      <c r="D98" t="s">
        <v>34</v>
      </c>
      <c r="E98">
        <v>8</v>
      </c>
      <c r="F98">
        <v>300</v>
      </c>
      <c r="G98" t="s">
        <v>175</v>
      </c>
      <c r="H98">
        <v>33.299999999999997</v>
      </c>
    </row>
    <row r="99" spans="1:8" x14ac:dyDescent="0.25">
      <c r="A99">
        <v>1050</v>
      </c>
      <c r="B99">
        <v>614</v>
      </c>
      <c r="C99">
        <v>1</v>
      </c>
      <c r="D99" t="s">
        <v>35</v>
      </c>
      <c r="E99">
        <v>8</v>
      </c>
      <c r="F99">
        <v>300</v>
      </c>
      <c r="G99" t="s">
        <v>176</v>
      </c>
      <c r="H99">
        <v>37</v>
      </c>
    </row>
    <row r="100" spans="1:8" x14ac:dyDescent="0.25">
      <c r="A100">
        <v>1050</v>
      </c>
      <c r="B100">
        <v>1159</v>
      </c>
      <c r="C100">
        <v>2</v>
      </c>
      <c r="D100" t="s">
        <v>35</v>
      </c>
      <c r="E100">
        <v>8</v>
      </c>
      <c r="F100">
        <v>300</v>
      </c>
      <c r="G100" t="s">
        <v>177</v>
      </c>
      <c r="H100">
        <v>35.9</v>
      </c>
    </row>
    <row r="101" spans="1:8" x14ac:dyDescent="0.25">
      <c r="A101">
        <v>1175</v>
      </c>
      <c r="B101">
        <v>455</v>
      </c>
      <c r="C101">
        <v>1</v>
      </c>
      <c r="D101" t="s">
        <v>34</v>
      </c>
      <c r="E101">
        <v>10</v>
      </c>
      <c r="F101">
        <v>275</v>
      </c>
      <c r="G101" t="s">
        <v>178</v>
      </c>
      <c r="H101">
        <v>37.5</v>
      </c>
    </row>
    <row r="102" spans="1:8" x14ac:dyDescent="0.25">
      <c r="A102">
        <v>1175</v>
      </c>
      <c r="B102">
        <v>879</v>
      </c>
      <c r="C102">
        <v>2</v>
      </c>
      <c r="D102" t="s">
        <v>34</v>
      </c>
      <c r="E102">
        <v>10</v>
      </c>
      <c r="F102">
        <v>275</v>
      </c>
      <c r="G102" t="s">
        <v>178</v>
      </c>
      <c r="H102">
        <v>37.200000000000003</v>
      </c>
    </row>
    <row r="103" spans="1:8" x14ac:dyDescent="0.25">
      <c r="A103">
        <v>1175</v>
      </c>
      <c r="B103">
        <v>561</v>
      </c>
      <c r="C103">
        <v>1</v>
      </c>
      <c r="D103" t="s">
        <v>35</v>
      </c>
      <c r="E103">
        <v>10</v>
      </c>
      <c r="F103">
        <v>300</v>
      </c>
      <c r="G103" t="s">
        <v>179</v>
      </c>
      <c r="H103">
        <v>40.5</v>
      </c>
    </row>
    <row r="104" spans="1:8" x14ac:dyDescent="0.25">
      <c r="A104">
        <v>1175</v>
      </c>
      <c r="B104">
        <v>1043</v>
      </c>
      <c r="C104">
        <v>2</v>
      </c>
      <c r="D104" t="s">
        <v>35</v>
      </c>
      <c r="E104">
        <v>10</v>
      </c>
      <c r="F104">
        <v>300</v>
      </c>
      <c r="G104" t="s">
        <v>180</v>
      </c>
      <c r="H104">
        <v>40.700000000000003</v>
      </c>
    </row>
  </sheetData>
  <mergeCells count="6">
    <mergeCell ref="A1:H1"/>
    <mergeCell ref="A2:A3"/>
    <mergeCell ref="C2:C3"/>
    <mergeCell ref="D2:D3"/>
    <mergeCell ref="E2:E3"/>
    <mergeCell ref="F2:F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"/>
  <dimension ref="A1:O56"/>
  <sheetViews>
    <sheetView tabSelected="1" workbookViewId="0">
      <selection activeCell="O24" sqref="O24"/>
    </sheetView>
  </sheetViews>
  <sheetFormatPr defaultRowHeight="15" x14ac:dyDescent="0.25"/>
  <cols>
    <col min="1" max="1" width="11" customWidth="1"/>
    <col min="2" max="2" width="29" bestFit="1" customWidth="1"/>
    <col min="3" max="3" width="19.7109375" customWidth="1"/>
    <col min="4" max="4" width="11" customWidth="1"/>
    <col min="5" max="5" width="11" style="8" customWidth="1"/>
    <col min="9" max="9" width="12.85546875" customWidth="1"/>
    <col min="10" max="10" width="10.5703125" style="8" bestFit="1" customWidth="1"/>
  </cols>
  <sheetData>
    <row r="1" spans="1:15" ht="30" x14ac:dyDescent="0.25">
      <c r="B1" s="1" t="s">
        <v>0</v>
      </c>
      <c r="C1" s="1" t="s">
        <v>1</v>
      </c>
      <c r="D1" s="1" t="s">
        <v>2</v>
      </c>
      <c r="E1" s="1" t="s">
        <v>41</v>
      </c>
      <c r="H1">
        <v>1</v>
      </c>
      <c r="J1"/>
    </row>
    <row r="2" spans="1:15" x14ac:dyDescent="0.25">
      <c r="A2">
        <v>1</v>
      </c>
      <c r="B2" s="2" t="s">
        <v>20</v>
      </c>
      <c r="C2" s="2"/>
      <c r="D2" s="2"/>
      <c r="I2" s="10" t="s">
        <v>42</v>
      </c>
      <c r="J2" s="9" t="s">
        <v>43</v>
      </c>
      <c r="L2" t="s">
        <v>103</v>
      </c>
    </row>
    <row r="3" spans="1:15" x14ac:dyDescent="0.25">
      <c r="A3">
        <v>2</v>
      </c>
      <c r="B3" s="2" t="s">
        <v>9</v>
      </c>
      <c r="C3">
        <v>1</v>
      </c>
      <c r="D3" s="2">
        <v>13.4</v>
      </c>
      <c r="E3" s="2">
        <v>66</v>
      </c>
      <c r="I3" s="10" t="s">
        <v>41</v>
      </c>
      <c r="J3" s="9" t="s">
        <v>44</v>
      </c>
      <c r="L3" t="s">
        <v>104</v>
      </c>
    </row>
    <row r="4" spans="1:15" x14ac:dyDescent="0.25">
      <c r="A4">
        <v>3</v>
      </c>
      <c r="B4" s="3" t="s">
        <v>3</v>
      </c>
      <c r="C4">
        <v>2</v>
      </c>
      <c r="D4" s="2">
        <v>15.5</v>
      </c>
      <c r="E4" s="8">
        <v>106</v>
      </c>
      <c r="H4" s="8"/>
      <c r="I4" s="8"/>
      <c r="J4"/>
      <c r="L4" t="s">
        <v>105</v>
      </c>
    </row>
    <row r="5" spans="1:15" x14ac:dyDescent="0.25">
      <c r="A5">
        <v>4</v>
      </c>
      <c r="B5" s="3" t="s">
        <v>4</v>
      </c>
      <c r="C5">
        <v>3</v>
      </c>
      <c r="D5" s="2">
        <v>19.399999999999999</v>
      </c>
      <c r="E5" s="8">
        <v>212</v>
      </c>
      <c r="G5" s="2"/>
      <c r="I5" s="53" t="s">
        <v>45</v>
      </c>
      <c r="J5" s="53"/>
      <c r="L5" t="s">
        <v>109</v>
      </c>
      <c r="N5" s="53" t="s">
        <v>45</v>
      </c>
      <c r="O5" s="53"/>
    </row>
    <row r="6" spans="1:15" x14ac:dyDescent="0.25">
      <c r="A6">
        <v>5</v>
      </c>
      <c r="B6" s="2" t="s">
        <v>5</v>
      </c>
      <c r="C6">
        <v>4</v>
      </c>
      <c r="D6" s="2">
        <v>24.1</v>
      </c>
      <c r="E6" s="2">
        <v>300</v>
      </c>
      <c r="G6" s="2"/>
      <c r="I6" s="2">
        <v>112</v>
      </c>
      <c r="J6" s="8" t="s">
        <v>90</v>
      </c>
      <c r="L6" t="s">
        <v>110</v>
      </c>
      <c r="N6" s="2">
        <v>112</v>
      </c>
      <c r="O6" s="8" t="s">
        <v>90</v>
      </c>
    </row>
    <row r="7" spans="1:15" x14ac:dyDescent="0.25">
      <c r="A7">
        <v>6</v>
      </c>
      <c r="B7" s="2" t="s">
        <v>6</v>
      </c>
      <c r="C7">
        <v>5</v>
      </c>
      <c r="D7" s="2">
        <v>26.8</v>
      </c>
      <c r="E7" s="2">
        <v>400</v>
      </c>
      <c r="G7" s="2"/>
      <c r="I7" s="2">
        <v>198</v>
      </c>
      <c r="J7" s="8" t="s">
        <v>91</v>
      </c>
      <c r="N7" s="2">
        <v>198</v>
      </c>
      <c r="O7" s="8" t="s">
        <v>91</v>
      </c>
    </row>
    <row r="8" spans="1:15" x14ac:dyDescent="0.25">
      <c r="A8">
        <v>7</v>
      </c>
      <c r="B8" s="2" t="s">
        <v>7</v>
      </c>
      <c r="C8">
        <v>6</v>
      </c>
      <c r="D8" s="2">
        <v>30</v>
      </c>
      <c r="E8" s="2">
        <v>500</v>
      </c>
      <c r="G8" s="2"/>
      <c r="I8" s="2">
        <v>275</v>
      </c>
      <c r="J8" s="8" t="s">
        <v>92</v>
      </c>
      <c r="N8" s="2">
        <v>275</v>
      </c>
      <c r="O8" s="8" t="s">
        <v>92</v>
      </c>
    </row>
    <row r="9" spans="1:15" x14ac:dyDescent="0.25">
      <c r="A9">
        <v>8</v>
      </c>
      <c r="B9" s="2" t="s">
        <v>8</v>
      </c>
      <c r="C9">
        <v>7</v>
      </c>
      <c r="D9" s="2">
        <v>31.7</v>
      </c>
      <c r="E9" s="2">
        <v>600</v>
      </c>
      <c r="G9" s="2"/>
      <c r="I9" s="2">
        <v>308</v>
      </c>
      <c r="J9" s="8" t="s">
        <v>93</v>
      </c>
      <c r="N9" s="2">
        <v>308</v>
      </c>
      <c r="O9" s="8" t="s">
        <v>93</v>
      </c>
    </row>
    <row r="10" spans="1:15" x14ac:dyDescent="0.25">
      <c r="A10">
        <v>9</v>
      </c>
      <c r="B10" s="2" t="s">
        <v>10</v>
      </c>
      <c r="C10">
        <v>8</v>
      </c>
      <c r="D10" s="2">
        <v>17.399999999999999</v>
      </c>
      <c r="E10" s="2">
        <v>66</v>
      </c>
      <c r="G10" s="2"/>
      <c r="I10" s="2">
        <v>410</v>
      </c>
      <c r="J10" s="8" t="s">
        <v>108</v>
      </c>
      <c r="N10" s="2">
        <v>410</v>
      </c>
      <c r="O10" s="8" t="s">
        <v>108</v>
      </c>
    </row>
    <row r="11" spans="1:15" x14ac:dyDescent="0.25">
      <c r="A11">
        <v>10</v>
      </c>
      <c r="B11" s="3" t="s">
        <v>11</v>
      </c>
      <c r="C11">
        <v>9</v>
      </c>
      <c r="D11" s="2">
        <v>19.5</v>
      </c>
      <c r="E11" s="2">
        <v>106</v>
      </c>
      <c r="G11" s="2"/>
      <c r="I11" s="2">
        <v>525</v>
      </c>
      <c r="J11" s="8" t="s">
        <v>94</v>
      </c>
      <c r="N11" s="2">
        <v>525</v>
      </c>
      <c r="O11" s="8" t="s">
        <v>94</v>
      </c>
    </row>
    <row r="12" spans="1:15" x14ac:dyDescent="0.25">
      <c r="A12">
        <v>11</v>
      </c>
      <c r="B12" s="3" t="s">
        <v>12</v>
      </c>
      <c r="C12">
        <v>10</v>
      </c>
      <c r="D12" s="2">
        <v>23.4</v>
      </c>
      <c r="E12" s="2">
        <v>212</v>
      </c>
      <c r="G12" s="2"/>
      <c r="I12" s="2">
        <v>602</v>
      </c>
      <c r="J12" s="8" t="s">
        <v>95</v>
      </c>
      <c r="N12" s="2">
        <v>602</v>
      </c>
      <c r="O12" s="8" t="s">
        <v>95</v>
      </c>
    </row>
    <row r="13" spans="1:15" x14ac:dyDescent="0.25">
      <c r="A13">
        <v>12</v>
      </c>
      <c r="B13" s="2" t="s">
        <v>13</v>
      </c>
      <c r="C13">
        <v>11</v>
      </c>
      <c r="D13" s="2">
        <v>28.1</v>
      </c>
      <c r="E13" s="2">
        <v>300</v>
      </c>
      <c r="G13" s="2"/>
      <c r="I13" s="2">
        <v>808</v>
      </c>
      <c r="J13" s="8" t="s">
        <v>96</v>
      </c>
      <c r="N13" s="2">
        <v>808</v>
      </c>
      <c r="O13" s="8" t="s">
        <v>96</v>
      </c>
    </row>
    <row r="14" spans="1:15" x14ac:dyDescent="0.25">
      <c r="A14">
        <v>13</v>
      </c>
      <c r="B14" s="2" t="s">
        <v>14</v>
      </c>
      <c r="C14">
        <v>12</v>
      </c>
      <c r="D14" s="2">
        <v>35.700000000000003</v>
      </c>
      <c r="E14" s="2">
        <v>600</v>
      </c>
      <c r="G14" s="2"/>
      <c r="I14" s="2">
        <v>911</v>
      </c>
      <c r="J14" s="8" t="s">
        <v>97</v>
      </c>
      <c r="N14" s="2">
        <v>911</v>
      </c>
      <c r="O14" s="8" t="s">
        <v>97</v>
      </c>
    </row>
    <row r="15" spans="1:15" x14ac:dyDescent="0.25">
      <c r="A15">
        <v>14</v>
      </c>
      <c r="B15" s="2" t="s">
        <v>15</v>
      </c>
      <c r="C15">
        <v>13</v>
      </c>
      <c r="D15" s="2">
        <v>32.299999999999997</v>
      </c>
      <c r="E15" s="2">
        <v>400</v>
      </c>
    </row>
    <row r="16" spans="1:15" x14ac:dyDescent="0.25">
      <c r="A16">
        <v>15</v>
      </c>
      <c r="B16" s="3" t="s">
        <v>16</v>
      </c>
      <c r="C16">
        <v>14</v>
      </c>
      <c r="D16" s="2">
        <v>23.5</v>
      </c>
      <c r="E16" s="2">
        <v>66</v>
      </c>
      <c r="H16" s="8"/>
      <c r="I16" s="2"/>
    </row>
    <row r="17" spans="1:10" x14ac:dyDescent="0.25">
      <c r="A17">
        <v>16</v>
      </c>
      <c r="B17" s="3" t="s">
        <v>17</v>
      </c>
      <c r="C17">
        <v>15</v>
      </c>
      <c r="D17" s="2">
        <v>27.4</v>
      </c>
      <c r="E17" s="2">
        <v>212</v>
      </c>
      <c r="H17" s="8"/>
      <c r="I17" s="2"/>
    </row>
    <row r="18" spans="1:10" x14ac:dyDescent="0.25">
      <c r="A18">
        <v>17</v>
      </c>
      <c r="B18" s="2" t="s">
        <v>18</v>
      </c>
      <c r="C18">
        <v>16</v>
      </c>
      <c r="D18" s="2">
        <v>34.1</v>
      </c>
      <c r="E18" s="2">
        <v>300</v>
      </c>
      <c r="H18" s="8"/>
      <c r="I18" s="10" t="s">
        <v>42</v>
      </c>
      <c r="J18" s="9" t="s">
        <v>79</v>
      </c>
    </row>
    <row r="19" spans="1:10" x14ac:dyDescent="0.25">
      <c r="A19">
        <v>18</v>
      </c>
      <c r="B19" s="2" t="s">
        <v>19</v>
      </c>
      <c r="C19">
        <v>17</v>
      </c>
      <c r="D19" s="2">
        <v>36.299999999999997</v>
      </c>
      <c r="E19" s="2">
        <v>400</v>
      </c>
      <c r="H19" s="8"/>
      <c r="I19" s="10" t="s">
        <v>41</v>
      </c>
      <c r="J19" s="9" t="s">
        <v>80</v>
      </c>
    </row>
    <row r="20" spans="1:10" x14ac:dyDescent="0.25">
      <c r="A20">
        <v>19</v>
      </c>
      <c r="B20" t="s">
        <v>74</v>
      </c>
      <c r="C20">
        <v>18</v>
      </c>
      <c r="D20" s="2">
        <v>38.1</v>
      </c>
      <c r="E20" s="2">
        <v>300</v>
      </c>
      <c r="H20" s="8"/>
      <c r="I20" s="8"/>
      <c r="J20"/>
    </row>
    <row r="21" spans="1:10" x14ac:dyDescent="0.25">
      <c r="H21" s="8"/>
      <c r="I21" s="53" t="s">
        <v>45</v>
      </c>
      <c r="J21" s="53"/>
    </row>
    <row r="22" spans="1:10" x14ac:dyDescent="0.25">
      <c r="A22" t="s">
        <v>98</v>
      </c>
      <c r="B22" s="2" t="s">
        <v>99</v>
      </c>
      <c r="C22" s="2" t="s">
        <v>100</v>
      </c>
      <c r="D22" s="2" t="s">
        <v>101</v>
      </c>
      <c r="E22" s="8" t="s">
        <v>102</v>
      </c>
      <c r="H22" s="8"/>
      <c r="I22" s="2">
        <v>112</v>
      </c>
      <c r="J22" s="8" t="s">
        <v>81</v>
      </c>
    </row>
    <row r="23" spans="1:10" x14ac:dyDescent="0.25">
      <c r="A23">
        <v>1</v>
      </c>
      <c r="B23" s="2" t="s">
        <v>20</v>
      </c>
      <c r="C23" s="2"/>
      <c r="D23" s="2"/>
      <c r="H23" s="8"/>
      <c r="I23" s="2">
        <v>198</v>
      </c>
      <c r="J23" s="8" t="s">
        <v>82</v>
      </c>
    </row>
    <row r="24" spans="1:10" x14ac:dyDescent="0.25">
      <c r="A24">
        <v>2</v>
      </c>
      <c r="B24" t="s">
        <v>48</v>
      </c>
      <c r="C24" s="11">
        <v>1</v>
      </c>
      <c r="D24" s="2"/>
      <c r="E24" s="8">
        <v>66</v>
      </c>
      <c r="H24" s="8"/>
      <c r="I24" s="2">
        <v>275</v>
      </c>
      <c r="J24" s="8" t="s">
        <v>83</v>
      </c>
    </row>
    <row r="25" spans="1:10" x14ac:dyDescent="0.25">
      <c r="A25">
        <v>3</v>
      </c>
      <c r="B25" t="s">
        <v>49</v>
      </c>
      <c r="C25">
        <v>8</v>
      </c>
      <c r="D25" s="2">
        <v>17.5</v>
      </c>
      <c r="E25" s="8">
        <v>66</v>
      </c>
      <c r="I25" s="2">
        <v>308</v>
      </c>
      <c r="J25" s="8" t="s">
        <v>84</v>
      </c>
    </row>
    <row r="26" spans="1:10" x14ac:dyDescent="0.25">
      <c r="A26">
        <v>4</v>
      </c>
      <c r="B26" t="s">
        <v>50</v>
      </c>
      <c r="C26">
        <v>19</v>
      </c>
      <c r="D26" s="8"/>
      <c r="E26" s="8">
        <v>106</v>
      </c>
      <c r="I26" s="2">
        <v>410</v>
      </c>
      <c r="J26" s="8" t="s">
        <v>85</v>
      </c>
    </row>
    <row r="27" spans="1:10" x14ac:dyDescent="0.25">
      <c r="A27">
        <v>5</v>
      </c>
      <c r="B27" t="s">
        <v>3</v>
      </c>
      <c r="C27">
        <v>2</v>
      </c>
      <c r="D27" s="8">
        <v>15.5</v>
      </c>
      <c r="E27" s="8">
        <v>106</v>
      </c>
      <c r="I27" s="2">
        <v>525</v>
      </c>
      <c r="J27" s="8" t="s">
        <v>86</v>
      </c>
    </row>
    <row r="28" spans="1:10" x14ac:dyDescent="0.25">
      <c r="A28">
        <v>6</v>
      </c>
      <c r="B28" t="s">
        <v>11</v>
      </c>
      <c r="C28">
        <v>3</v>
      </c>
      <c r="D28" s="8">
        <v>19.5</v>
      </c>
      <c r="E28" s="8">
        <v>106</v>
      </c>
      <c r="I28" s="2">
        <v>602</v>
      </c>
      <c r="J28" s="8" t="s">
        <v>87</v>
      </c>
    </row>
    <row r="29" spans="1:10" x14ac:dyDescent="0.25">
      <c r="A29">
        <v>7</v>
      </c>
      <c r="B29" t="s">
        <v>16</v>
      </c>
      <c r="C29">
        <v>14</v>
      </c>
      <c r="D29" s="8">
        <v>23.5</v>
      </c>
      <c r="E29" s="8">
        <v>106</v>
      </c>
      <c r="I29" s="2">
        <v>808</v>
      </c>
      <c r="J29" s="8" t="s">
        <v>88</v>
      </c>
    </row>
    <row r="30" spans="1:10" x14ac:dyDescent="0.25">
      <c r="A30">
        <v>8</v>
      </c>
      <c r="B30" t="s">
        <v>51</v>
      </c>
      <c r="C30">
        <v>20</v>
      </c>
      <c r="D30" s="8"/>
      <c r="E30" s="8">
        <v>212</v>
      </c>
      <c r="I30" s="2">
        <v>911</v>
      </c>
      <c r="J30" s="8" t="s">
        <v>89</v>
      </c>
    </row>
    <row r="31" spans="1:10" x14ac:dyDescent="0.25">
      <c r="A31">
        <v>9</v>
      </c>
      <c r="B31" t="s">
        <v>52</v>
      </c>
      <c r="C31">
        <v>21</v>
      </c>
      <c r="D31" s="8"/>
      <c r="E31" s="8">
        <v>212</v>
      </c>
    </row>
    <row r="32" spans="1:10" x14ac:dyDescent="0.25">
      <c r="A32">
        <v>10</v>
      </c>
      <c r="B32" t="s">
        <v>4</v>
      </c>
      <c r="C32">
        <v>3</v>
      </c>
      <c r="D32" s="8">
        <v>26.8</v>
      </c>
      <c r="E32" s="8">
        <v>212</v>
      </c>
    </row>
    <row r="33" spans="1:5" x14ac:dyDescent="0.25">
      <c r="A33">
        <v>11</v>
      </c>
      <c r="B33" t="s">
        <v>12</v>
      </c>
      <c r="C33">
        <v>10</v>
      </c>
      <c r="D33" s="8">
        <v>23.4</v>
      </c>
      <c r="E33" s="8">
        <v>212</v>
      </c>
    </row>
    <row r="34" spans="1:5" x14ac:dyDescent="0.25">
      <c r="A34">
        <v>12</v>
      </c>
      <c r="B34" t="s">
        <v>17</v>
      </c>
      <c r="C34">
        <v>15</v>
      </c>
      <c r="D34" s="8">
        <v>27.4</v>
      </c>
      <c r="E34" s="8">
        <v>212</v>
      </c>
    </row>
    <row r="35" spans="1:5" x14ac:dyDescent="0.25">
      <c r="A35">
        <v>13</v>
      </c>
      <c r="B35" t="s">
        <v>53</v>
      </c>
      <c r="C35">
        <v>22</v>
      </c>
      <c r="D35" s="8"/>
      <c r="E35" s="8">
        <v>300</v>
      </c>
    </row>
    <row r="36" spans="1:5" x14ac:dyDescent="0.25">
      <c r="A36">
        <v>14</v>
      </c>
      <c r="B36" t="s">
        <v>54</v>
      </c>
      <c r="C36">
        <v>4</v>
      </c>
      <c r="D36" s="8">
        <v>24.1</v>
      </c>
      <c r="E36" s="8">
        <v>300</v>
      </c>
    </row>
    <row r="37" spans="1:5" x14ac:dyDescent="0.25">
      <c r="A37">
        <v>15</v>
      </c>
      <c r="B37" t="s">
        <v>55</v>
      </c>
      <c r="C37">
        <v>11</v>
      </c>
      <c r="D37" s="8">
        <v>28.1</v>
      </c>
      <c r="E37" s="8">
        <v>300</v>
      </c>
    </row>
    <row r="38" spans="1:5" x14ac:dyDescent="0.25">
      <c r="A38">
        <v>16</v>
      </c>
      <c r="B38" t="s">
        <v>56</v>
      </c>
      <c r="C38">
        <v>23</v>
      </c>
      <c r="D38" s="8">
        <v>29.9</v>
      </c>
      <c r="E38" s="8">
        <v>300</v>
      </c>
    </row>
    <row r="39" spans="1:5" x14ac:dyDescent="0.25">
      <c r="A39">
        <v>17</v>
      </c>
      <c r="B39" t="s">
        <v>57</v>
      </c>
      <c r="C39">
        <v>16</v>
      </c>
      <c r="D39" s="8">
        <v>34.1</v>
      </c>
      <c r="E39" s="8">
        <v>300</v>
      </c>
    </row>
    <row r="40" spans="1:5" x14ac:dyDescent="0.25">
      <c r="A40">
        <v>18</v>
      </c>
      <c r="B40" t="s">
        <v>58</v>
      </c>
      <c r="C40">
        <v>24</v>
      </c>
      <c r="D40" s="8">
        <v>38.1</v>
      </c>
      <c r="E40" s="8">
        <v>300</v>
      </c>
    </row>
    <row r="41" spans="1:5" x14ac:dyDescent="0.25">
      <c r="A41">
        <v>19</v>
      </c>
      <c r="B41" t="s">
        <v>59</v>
      </c>
      <c r="C41">
        <v>5</v>
      </c>
      <c r="D41" s="8">
        <v>26.8</v>
      </c>
      <c r="E41" s="8">
        <v>400</v>
      </c>
    </row>
    <row r="42" spans="1:5" x14ac:dyDescent="0.25">
      <c r="A42">
        <v>20</v>
      </c>
      <c r="B42" t="s">
        <v>60</v>
      </c>
      <c r="C42">
        <v>25</v>
      </c>
      <c r="D42" s="8"/>
      <c r="E42" s="8">
        <v>400</v>
      </c>
    </row>
    <row r="43" spans="1:5" x14ac:dyDescent="0.25">
      <c r="A43">
        <v>21</v>
      </c>
      <c r="B43" t="s">
        <v>61</v>
      </c>
      <c r="C43">
        <v>13</v>
      </c>
      <c r="D43" s="8">
        <v>33</v>
      </c>
      <c r="E43" s="8">
        <v>400</v>
      </c>
    </row>
    <row r="44" spans="1:5" x14ac:dyDescent="0.25">
      <c r="A44">
        <v>22</v>
      </c>
      <c r="B44" t="s">
        <v>62</v>
      </c>
      <c r="C44">
        <v>17</v>
      </c>
      <c r="D44" s="8">
        <v>37</v>
      </c>
      <c r="E44" s="8">
        <v>400</v>
      </c>
    </row>
    <row r="45" spans="1:5" x14ac:dyDescent="0.25">
      <c r="A45">
        <v>23</v>
      </c>
      <c r="B45" t="s">
        <v>63</v>
      </c>
      <c r="C45">
        <v>26</v>
      </c>
      <c r="D45" s="8"/>
      <c r="E45" s="8">
        <v>400</v>
      </c>
    </row>
    <row r="46" spans="1:5" x14ac:dyDescent="0.25">
      <c r="A46">
        <v>24</v>
      </c>
      <c r="B46" t="s">
        <v>64</v>
      </c>
      <c r="C46">
        <v>27</v>
      </c>
      <c r="D46" s="8">
        <v>27.2</v>
      </c>
      <c r="E46" s="8">
        <v>500</v>
      </c>
    </row>
    <row r="47" spans="1:5" x14ac:dyDescent="0.25">
      <c r="A47">
        <v>25</v>
      </c>
      <c r="B47" t="s">
        <v>65</v>
      </c>
      <c r="C47">
        <v>28</v>
      </c>
      <c r="D47" s="8">
        <v>30</v>
      </c>
      <c r="E47" s="8">
        <v>500</v>
      </c>
    </row>
    <row r="48" spans="1:5" x14ac:dyDescent="0.25">
      <c r="A48">
        <v>26</v>
      </c>
      <c r="B48" t="s">
        <v>66</v>
      </c>
      <c r="C48">
        <v>29</v>
      </c>
      <c r="D48" s="8"/>
      <c r="E48" s="8">
        <v>500</v>
      </c>
    </row>
    <row r="49" spans="1:5" x14ac:dyDescent="0.25">
      <c r="A49">
        <v>27</v>
      </c>
      <c r="B49" t="s">
        <v>67</v>
      </c>
      <c r="C49">
        <v>30</v>
      </c>
      <c r="D49" s="8">
        <v>35.200000000000003</v>
      </c>
      <c r="E49" s="8">
        <v>500</v>
      </c>
    </row>
    <row r="50" spans="1:5" x14ac:dyDescent="0.25">
      <c r="A50">
        <v>28</v>
      </c>
      <c r="B50" t="s">
        <v>68</v>
      </c>
      <c r="C50">
        <v>31</v>
      </c>
      <c r="D50" s="8">
        <v>39.200000000000003</v>
      </c>
      <c r="E50" s="8">
        <v>500</v>
      </c>
    </row>
    <row r="51" spans="1:5" x14ac:dyDescent="0.25">
      <c r="A51">
        <v>29</v>
      </c>
      <c r="B51" t="s">
        <v>69</v>
      </c>
      <c r="C51">
        <v>32</v>
      </c>
      <c r="D51" s="8">
        <v>43.2</v>
      </c>
      <c r="E51" s="8">
        <v>500</v>
      </c>
    </row>
    <row r="52" spans="1:5" x14ac:dyDescent="0.25">
      <c r="A52">
        <v>30</v>
      </c>
      <c r="B52" t="s">
        <v>70</v>
      </c>
      <c r="C52">
        <v>33</v>
      </c>
      <c r="D52" s="8">
        <v>29.7</v>
      </c>
      <c r="E52" s="8">
        <v>600</v>
      </c>
    </row>
    <row r="53" spans="1:5" x14ac:dyDescent="0.25">
      <c r="A53">
        <v>31</v>
      </c>
      <c r="B53" t="s">
        <v>71</v>
      </c>
      <c r="C53">
        <v>7</v>
      </c>
      <c r="D53" s="8">
        <v>31.7</v>
      </c>
      <c r="E53" s="8">
        <v>600</v>
      </c>
    </row>
    <row r="54" spans="1:5" x14ac:dyDescent="0.25">
      <c r="A54">
        <v>32</v>
      </c>
      <c r="B54" t="s">
        <v>72</v>
      </c>
      <c r="C54">
        <v>12</v>
      </c>
      <c r="D54" s="8">
        <v>35.700000000000003</v>
      </c>
      <c r="E54" s="8">
        <v>600</v>
      </c>
    </row>
    <row r="55" spans="1:5" x14ac:dyDescent="0.25">
      <c r="A55">
        <v>33</v>
      </c>
      <c r="B55" t="s">
        <v>73</v>
      </c>
      <c r="C55">
        <v>34</v>
      </c>
      <c r="D55" s="8"/>
      <c r="E55" s="8">
        <v>600</v>
      </c>
    </row>
    <row r="56" spans="1:5" x14ac:dyDescent="0.25">
      <c r="D56" s="8"/>
    </row>
  </sheetData>
  <mergeCells count="3">
    <mergeCell ref="I5:J5"/>
    <mergeCell ref="I21:J21"/>
    <mergeCell ref="N5:O5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17</vt:i4>
      </vt:variant>
    </vt:vector>
  </HeadingPairs>
  <TitlesOfParts>
    <vt:vector size="23" baseType="lpstr">
      <vt:lpstr>Main Menu</vt:lpstr>
      <vt:lpstr>cable size &amp; part #</vt:lpstr>
      <vt:lpstr>lead lengths</vt:lpstr>
      <vt:lpstr>avg lead lengths</vt:lpstr>
      <vt:lpstr>DATA</vt:lpstr>
      <vt:lpstr>DATA2</vt:lpstr>
      <vt:lpstr>Butt1</vt:lpstr>
      <vt:lpstr>Butt2</vt:lpstr>
      <vt:lpstr>Butt3</vt:lpstr>
      <vt:lpstr>Butt4</vt:lpstr>
      <vt:lpstr>CHICKEN</vt:lpstr>
      <vt:lpstr>DrawingNo</vt:lpstr>
      <vt:lpstr>MCM_1</vt:lpstr>
      <vt:lpstr>MCM_2</vt:lpstr>
      <vt:lpstr>MCM_3</vt:lpstr>
      <vt:lpstr>MCM_4</vt:lpstr>
      <vt:lpstr>NUM</vt:lpstr>
      <vt:lpstr>Parrallel1</vt:lpstr>
      <vt:lpstr>Parrallel2</vt:lpstr>
      <vt:lpstr>Parrallel3</vt:lpstr>
      <vt:lpstr>Parrallel4</vt:lpstr>
      <vt:lpstr>SIDE_A</vt:lpstr>
      <vt:lpstr>SIDE_B</vt:lpstr>
    </vt:vector>
  </TitlesOfParts>
  <Company>SPX Corp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Yengkong.Sayaovong@prolec.energy</dc:creator>
  <cp:lastModifiedBy>Yengkong Sayaovong</cp:lastModifiedBy>
  <dcterms:created xsi:type="dcterms:W3CDTF">2018-07-10T16:33:55Z</dcterms:created>
  <dcterms:modified xsi:type="dcterms:W3CDTF">2025-04-15T16:03:30Z</dcterms:modified>
</cp:coreProperties>
</file>